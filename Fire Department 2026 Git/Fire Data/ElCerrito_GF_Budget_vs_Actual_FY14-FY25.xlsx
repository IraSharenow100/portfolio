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ocuments\Employment\2026 job search\GitHub\portfolio\Fire Department 2026 Git\Fire Data\"/>
    </mc:Choice>
  </mc:AlternateContent>
  <xr:revisionPtr revIDLastSave="22" documentId="8_{0BAD446D-AB7A-433A-9BEF-EAD1903D8B3D}" xr6:coauthVersionLast="47" xr6:coauthVersionMax="47" xr10:uidLastSave="{AA54172D-2CDE-476D-B4E7-FCED7134B3E7}"/>
  <bookViews>
    <workbookView xWindow="-120" yWindow="-120" windowWidth="29040" windowHeight="15720" tabRatio="500" xr2:uid="{00000000-000D-0000-FFFF-FFFF00000000}"/>
  </bookViews>
  <sheets>
    <sheet name="Changes " sheetId="5" r:id="rId1"/>
    <sheet name="GF Summary FY14-25" sheetId="1" r:id="rId2"/>
    <sheet name="Police &amp; Fire Detail" sheetId="2" r:id="rId3"/>
    <sheet name="Notes &amp; Caveat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9" i="5" l="1"/>
  <c r="D19" i="5"/>
  <c r="E19" i="5"/>
  <c r="F19" i="5"/>
  <c r="G19" i="5"/>
  <c r="B19" i="5"/>
  <c r="K6" i="5"/>
  <c r="K7" i="5"/>
  <c r="K8" i="5"/>
  <c r="K9" i="5"/>
  <c r="K10" i="5"/>
  <c r="K11" i="5"/>
  <c r="K12" i="5"/>
  <c r="K13" i="5"/>
  <c r="K14" i="5"/>
  <c r="K15" i="5"/>
  <c r="K16" i="5"/>
  <c r="K5" i="5"/>
  <c r="I6" i="5"/>
  <c r="J6" i="5"/>
  <c r="I7" i="5"/>
  <c r="J7" i="5"/>
  <c r="I8" i="5"/>
  <c r="J8" i="5"/>
  <c r="I9" i="5"/>
  <c r="J9" i="5"/>
  <c r="I10" i="5"/>
  <c r="J10" i="5"/>
  <c r="I11" i="5"/>
  <c r="J11" i="5"/>
  <c r="I12" i="5"/>
  <c r="J12" i="5"/>
  <c r="I13" i="5"/>
  <c r="J13" i="5"/>
  <c r="I14" i="5"/>
  <c r="J14" i="5"/>
  <c r="I15" i="5"/>
  <c r="J15" i="5"/>
  <c r="I16" i="5"/>
  <c r="J16" i="5"/>
  <c r="J5" i="5"/>
  <c r="I5" i="5"/>
  <c r="G17" i="5"/>
  <c r="F17" i="5"/>
  <c r="E17" i="5"/>
  <c r="D17" i="5"/>
  <c r="C17" i="5"/>
  <c r="B17" i="5"/>
  <c r="G17" i="1"/>
  <c r="F17" i="1"/>
  <c r="E17" i="1"/>
  <c r="D17" i="1"/>
  <c r="C17" i="1"/>
  <c r="B17" i="1"/>
</calcChain>
</file>

<file path=xl/sharedStrings.xml><?xml version="1.0" encoding="utf-8"?>
<sst xmlns="http://schemas.openxmlformats.org/spreadsheetml/2006/main" count="200" uniqueCount="79">
  <si>
    <t>City of El Cerrito — General Fund Budget vs. Actual, FY 2013-14 through FY 2024-25</t>
  </si>
  <si>
    <t>Source: Each year's Annual/Comprehensive Financial Report (ACFR/CAFR), General Fund Budgetary Comparison Schedule (Original / Final / Actual). See Notes tab for extraction caveats.</t>
  </si>
  <si>
    <t>Fiscal Year</t>
  </si>
  <si>
    <t>Original Budget
Revenues</t>
  </si>
  <si>
    <t>Final Budget
Revenues</t>
  </si>
  <si>
    <t>Actual
Revenues</t>
  </si>
  <si>
    <t>Original Budget
Expenditures</t>
  </si>
  <si>
    <t>Final Budget
Expenditures</t>
  </si>
  <si>
    <t>Actual
Expenditures</t>
  </si>
  <si>
    <t>Source Document</t>
  </si>
  <si>
    <t>FY 2013-14</t>
  </si>
  <si>
    <t>14CAFR.pdf, Table A-3, p.15</t>
  </si>
  <si>
    <t>FY 2014-15</t>
  </si>
  <si>
    <t>2015cafr.pdf, Table 3, p.12</t>
  </si>
  <si>
    <t>FY 2015-16</t>
  </si>
  <si>
    <t>2016cafr.pdf, Table A-3, p.13</t>
  </si>
  <si>
    <t>FY 2016-17</t>
  </si>
  <si>
    <t>2017cafr.pdf, Table A-3, p.13</t>
  </si>
  <si>
    <t>FY 2017-18</t>
  </si>
  <si>
    <t>2018cafr_pdf.pdf (byte-shift decoded), Table A-3, p.12</t>
  </si>
  <si>
    <t>FY 2018-19</t>
  </si>
  <si>
    <t>2019_CAFR.pdf, Table A-3, p.~12</t>
  </si>
  <si>
    <t>FY 2019-20</t>
  </si>
  <si>
    <t>City_of_El_Cerrito_CAFR_2020..., Table A-3, p.13</t>
  </si>
  <si>
    <t>FY 2020-21</t>
  </si>
  <si>
    <t>City_of_El_Cerrito_ACFR_2021..., Table A-3</t>
  </si>
  <si>
    <t>FY 2021-22</t>
  </si>
  <si>
    <t>FY_2022_...ACFR-1.pdf, MD&amp;A budget table (Original/Final corrected — see Notes)</t>
  </si>
  <si>
    <t>FY 2022-23</t>
  </si>
  <si>
    <t>2022-2023_...Report.pdf, RSI Budgetary Comparison Schedule (Original/Final corrected — see Notes)</t>
  </si>
  <si>
    <t>FY 2023-24</t>
  </si>
  <si>
    <t>FY_2024_ACFR.pdf, RSI Budgetary Comparison Schedule (Original/Final corrected — see Notes)</t>
  </si>
  <si>
    <t>FY 2024-25</t>
  </si>
  <si>
    <t>2024-25_...ACFR...pdf, RSI Budgetary Comparison Schedule</t>
  </si>
  <si>
    <t>12-Year Total</t>
  </si>
  <si>
    <t>City of El Cerrito — Police and Fire Department Budget vs. Actual (years with a departmental split available)</t>
  </si>
  <si>
    <t>Most years' General Fund budget schedule reports a single combined 'Public Safety' line (see GF Summary tab and Notes tab). A Police/Fire split is only available for the years below.</t>
  </si>
  <si>
    <t>Department</t>
  </si>
  <si>
    <t>Budget/Actual Figure</t>
  </si>
  <si>
    <t>Amount</t>
  </si>
  <si>
    <t>Basis / Column Label</t>
  </si>
  <si>
    <t>Police</t>
  </si>
  <si>
    <t>Original</t>
  </si>
  <si>
    <t>General Fund Budgetary Comparison Schedule</t>
  </si>
  <si>
    <t>City_of_El_Cerrito_CAFR_2020...pdf, Table A-3, p.13</t>
  </si>
  <si>
    <t>Final</t>
  </si>
  <si>
    <t>Actual</t>
  </si>
  <si>
    <t>Fire</t>
  </si>
  <si>
    <t>City_of_El_Cerrito_ACFR_2021_-_Final.pdf, Table A-3</t>
  </si>
  <si>
    <t>Budget workbook, by-department (not the ACFR schedule)</t>
  </si>
  <si>
    <t>ElCerrito_Budget_FY26_FY28_Projections.xlsx, Expenditure Detail</t>
  </si>
  <si>
    <t>FY 2025-26</t>
  </si>
  <si>
    <t>Amended Budget</t>
  </si>
  <si>
    <t>Budget workbook, by-department. No Original figure found in project files.</t>
  </si>
  <si>
    <t>FY 2026-27</t>
  </si>
  <si>
    <t>Adopted Budget</t>
  </si>
  <si>
    <t>Biennial budget, by-department (no Final/Actual yet — future year)</t>
  </si>
  <si>
    <t>FY 2027-28</t>
  </si>
  <si>
    <t>Notes, Caveats, and Data Gaps</t>
  </si>
  <si>
    <t>No 'midyear' budget column exists</t>
  </si>
  <si>
    <t>Every CAFR/ACFR General Fund budgetary comparison schedule reports only three budget-stage columns: Original, Final (year-end amended budget, which incorporates any midyear revisions), and Actual. Several years' MD&amp;A narrative (e.g. FY2013-14, FY2015-16) describes revenues being 'reviewed at mid-year,' but no year publishes a distinct midyear-only budget figure. True midyear-adopted amounts, if needed, would require the City's midyear budget staff reports, which are not in this project's files.</t>
  </si>
  <si>
    <t>Scope covered</t>
  </si>
  <si>
    <t>Fiscal Years 2013-14 through 2024-25 (12 years) have verified Original/Final/Actual Revenue and Expenditure totals on the 'GF Summary FY14-25' tab, each pulled from that year's own CAFR/ACFR.</t>
  </si>
  <si>
    <t>FY 2025-26 ('present') is incomplete</t>
  </si>
  <si>
    <t>Only an Amended Budget figure was found in the project files (Revenues $53,779,792 / Expenditures $56,911,420, from ElCerrito_Budget_FY26_FY28_Projections.xlsx). No Original Adopted FY26 budget document and no Actual (the year is still open) were found in the project files.</t>
  </si>
  <si>
    <t>FY2022-FY2024 Original/Final column-order correction</t>
  </si>
  <si>
    <t>The raw PDF text extraction for the Total Revenues / Total Expenditures rows in the FY2022, FY2023, and FY2024 ACFRs printed the Original and Final columns in reversed order relative to the header row and relative to every category row beneath them. This was detected and corrected by cross-checking each Total row's printed variance figure (Final minus Actual for expenditures; Actual minus Final for revenues) against both possible column assignments — only one assignment reproduces the printed variance. The Total-row figures on the GF Summary tab reflect this correction.</t>
  </si>
  <si>
    <t>FY2022-FY2024 department-level figures omitted</t>
  </si>
  <si>
    <t>Individual expenditure category rows (General government, Public Works, Recreation, Community Development, Public Safety, etc.) in the FY2022-FY2024 schedules showed inconsistent Original/Final column ordering row-to-row in the extracted text (unlike the Total rows, which were consistently reversed). Because this could not be resolved with the same variance-formula method for every row, department-level Original/Final splits for these three years are not included here. Only the validated Totals are shown. Anyone needing category-level figures for FY22-24 should verify directly against the PDF page images (Required Supplementary Information section, 'Schedule of Revenues, Expenditures, and Changes in Fund Balance — Budget and Actual (GAAP Basis) — General Fund').</t>
  </si>
  <si>
    <t>Police / Fire departmental split — availability</t>
  </si>
  <si>
    <t>The General Fund budgetary comparison schedule breaks 'Public Safety' into separate Police and Fire lines only in the FY2019-20 and FY2020-21 CAFR/ACFR (see 'Police &amp; Fire Detail' tab). All other years (FY14-19, FY22-25) report a single combined 'Public safety' / 'Public Safety' line in that schedule.</t>
  </si>
  <si>
    <t>Police / Fire figures for FY25-FY28</t>
  </si>
  <si>
    <t>Separate Police and Fire figures for FY2024-25 (Actual), FY2025-26 (Amended), FY2026-27 (Adopted), and FY2027-28 (Adopted) come from the department-level breakdown in ElCerrito_Budget_FY26_FY28_Projections.xlsx — a budget-book source, not the ACFR schedule — and may use a somewhat different departmental allocation basis (e.g., cost allocation of shared services) than the ACFR's fund-level categories. Treat these as budget-book figures, not audited ACFR figures.</t>
  </si>
  <si>
    <t>Source files</t>
  </si>
  <si>
    <t>14CAFR.pdf, 2015cafr.pdf, 2016cafr.pdf, 2017cafr.pdf, 2018cafr_pdf.pdf, 2019_CAFR.pdf, City_of_El_Cerrito_CAFR_2020_-_FINAL_202102061949447160.pdf, City_of_El_Cerrito_ACFR_2021_-_Final.pdf, FY_2022_Annual_Comprehensive_Financial_Report__ACFR_-1.pdf, 2022-2023_Annual_Comprehensive_Financial_Report.pdf, FY_2024_ACFR.pdf, 2024-25_City_of_El_Cerrito_ACFR_C_ALLP_FINAL_-_Updated_Cover.pdf, ElCerrito_Budget_FY26_FY28_Projections.xlsx — all in the project's /mnt/project/ files.</t>
  </si>
  <si>
    <t>Actual - Original</t>
  </si>
  <si>
    <t>Actual - Final</t>
  </si>
  <si>
    <t>Actual Exp - Actual Rev</t>
  </si>
  <si>
    <t>Omit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</si>
</sst>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4"/>
      <name val="Arial"/>
      <charset val="1"/>
    </font>
    <font>
      <i/>
      <sz val="10"/>
      <color rgb="FF555555"/>
      <name val="Arial"/>
      <charset val="1"/>
    </font>
    <font>
      <b/>
      <sz val="11"/>
      <color rgb="FFFFFFFF"/>
      <name val="Arial"/>
      <charset val="1"/>
    </font>
    <font>
      <b/>
      <sz val="11"/>
      <name val="Arial"/>
      <charset val="1"/>
    </font>
    <font>
      <sz val="11"/>
      <name val="Arial"/>
      <charset val="1"/>
    </font>
    <font>
      <i/>
      <sz val="9"/>
      <name val="Arial"/>
      <charset val="1"/>
    </font>
  </fonts>
  <fills count="3">
    <fill>
      <patternFill patternType="none"/>
    </fill>
    <fill>
      <patternFill patternType="gray125"/>
    </fill>
    <fill>
      <patternFill patternType="solid">
        <fgColor rgb="FF1F4E78"/>
        <bgColor rgb="FF003366"/>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16">
    <xf numFmtId="0" fontId="0" fillId="0" borderId="0" xfId="0"/>
    <xf numFmtId="0" fontId="2" fillId="0" borderId="0" xfId="0" applyFont="1"/>
    <xf numFmtId="0" fontId="1" fillId="0" borderId="0" xfId="0" applyFont="1"/>
    <xf numFmtId="0" fontId="3" fillId="2" borderId="1" xfId="0" applyFont="1" applyFill="1" applyBorder="1" applyAlignment="1">
      <alignment horizontal="center" vertical="center" wrapText="1"/>
    </xf>
    <xf numFmtId="0" fontId="4" fillId="0" borderId="1" xfId="0" applyFont="1" applyBorder="1"/>
    <xf numFmtId="3" fontId="5" fillId="0" borderId="1" xfId="0" applyNumberFormat="1" applyFont="1" applyBorder="1" applyAlignment="1">
      <alignment horizontal="right"/>
    </xf>
    <xf numFmtId="0" fontId="6" fillId="0" borderId="1" xfId="0" applyFont="1" applyBorder="1" applyAlignment="1">
      <alignment vertical="top" wrapText="1"/>
    </xf>
    <xf numFmtId="0" fontId="4" fillId="0" borderId="0" xfId="0" applyFont="1"/>
    <xf numFmtId="3" fontId="4" fillId="0" borderId="1" xfId="0" applyNumberFormat="1" applyFont="1" applyBorder="1" applyAlignment="1">
      <alignment horizontal="right"/>
    </xf>
    <xf numFmtId="0" fontId="5" fillId="0" borderId="1" xfId="0" applyFont="1" applyBorder="1"/>
    <xf numFmtId="3" fontId="6" fillId="0" borderId="1" xfId="0" applyNumberFormat="1" applyFont="1" applyBorder="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3" fillId="2" borderId="2" xfId="0" applyFont="1" applyFill="1" applyBorder="1" applyAlignment="1">
      <alignment horizontal="center" vertical="center" wrapText="1"/>
    </xf>
    <xf numFmtId="3" fontId="0" fillId="0" borderId="0" xfId="0" applyNumberFormat="1"/>
    <xf numFmtId="0" fontId="4" fillId="0" borderId="0" xfId="0" applyFont="1" applyFill="1" applyBorder="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399B8-7AF7-4C5A-B206-9E0C35CEBB08}">
  <dimension ref="A1:K19"/>
  <sheetViews>
    <sheetView tabSelected="1" zoomScaleNormal="100" workbookViewId="0">
      <pane xSplit="1" ySplit="4" topLeftCell="B5" activePane="bottomRight" state="frozen"/>
      <selection pane="topRight" activeCell="B1" sqref="B1"/>
      <selection pane="bottomLeft" activeCell="A5" sqref="A5"/>
      <selection pane="bottomRight" activeCell="I5" sqref="I5"/>
    </sheetView>
  </sheetViews>
  <sheetFormatPr defaultColWidth="8.7109375" defaultRowHeight="15" x14ac:dyDescent="0.25"/>
  <cols>
    <col min="1" max="1" width="14.5703125" bestFit="1" customWidth="1"/>
    <col min="2" max="4" width="15" customWidth="1"/>
    <col min="5" max="7" width="16" customWidth="1"/>
    <col min="8" max="8" width="48" customWidth="1"/>
    <col min="9" max="9" width="10.28515625" customWidth="1"/>
    <col min="10" max="10" width="9.85546875" bestFit="1" customWidth="1"/>
    <col min="11" max="11" width="12.85546875" customWidth="1"/>
  </cols>
  <sheetData>
    <row r="1" spans="1:11" ht="18" x14ac:dyDescent="0.25">
      <c r="A1" s="2" t="s">
        <v>0</v>
      </c>
      <c r="B1" s="2"/>
      <c r="C1" s="2"/>
      <c r="D1" s="2"/>
      <c r="E1" s="2"/>
      <c r="F1" s="2"/>
      <c r="G1" s="2"/>
      <c r="H1" s="2"/>
    </row>
    <row r="2" spans="1:11" x14ac:dyDescent="0.25">
      <c r="A2" s="1" t="s">
        <v>1</v>
      </c>
      <c r="B2" s="1"/>
      <c r="C2" s="1"/>
      <c r="D2" s="1"/>
      <c r="E2" s="1"/>
      <c r="F2" s="1"/>
      <c r="G2" s="1"/>
      <c r="H2" s="1"/>
    </row>
    <row r="4" spans="1:11" ht="60" x14ac:dyDescent="0.25">
      <c r="A4" s="3" t="s">
        <v>2</v>
      </c>
      <c r="B4" s="3" t="s">
        <v>3</v>
      </c>
      <c r="C4" s="3" t="s">
        <v>4</v>
      </c>
      <c r="D4" s="3" t="s">
        <v>5</v>
      </c>
      <c r="E4" s="3" t="s">
        <v>6</v>
      </c>
      <c r="F4" s="3" t="s">
        <v>7</v>
      </c>
      <c r="G4" s="3" t="s">
        <v>8</v>
      </c>
      <c r="H4" s="3" t="s">
        <v>9</v>
      </c>
      <c r="I4" s="13" t="s">
        <v>75</v>
      </c>
      <c r="J4" s="13" t="s">
        <v>76</v>
      </c>
      <c r="K4" s="13" t="s">
        <v>77</v>
      </c>
    </row>
    <row r="5" spans="1:11" x14ac:dyDescent="0.25">
      <c r="A5" s="4" t="s">
        <v>10</v>
      </c>
      <c r="B5" s="5">
        <v>27674700</v>
      </c>
      <c r="C5" s="5">
        <v>28005355</v>
      </c>
      <c r="D5" s="5">
        <v>28248936</v>
      </c>
      <c r="E5" s="5">
        <v>27834684</v>
      </c>
      <c r="F5" s="5">
        <v>28239947</v>
      </c>
      <c r="G5" s="5">
        <v>28508819</v>
      </c>
      <c r="H5" s="6" t="s">
        <v>11</v>
      </c>
      <c r="I5" s="14">
        <f>G5-E5</f>
        <v>674135</v>
      </c>
      <c r="J5" s="14">
        <f>G5-F5</f>
        <v>268872</v>
      </c>
      <c r="K5" s="14">
        <f>G5-D5</f>
        <v>259883</v>
      </c>
    </row>
    <row r="6" spans="1:11" x14ac:dyDescent="0.25">
      <c r="A6" s="4" t="s">
        <v>12</v>
      </c>
      <c r="B6" s="5">
        <v>28440601</v>
      </c>
      <c r="C6" s="5">
        <v>28691131</v>
      </c>
      <c r="D6" s="5">
        <v>29106675</v>
      </c>
      <c r="E6" s="5">
        <v>28658297</v>
      </c>
      <c r="F6" s="5">
        <v>28908606</v>
      </c>
      <c r="G6" s="5">
        <v>29144613</v>
      </c>
      <c r="H6" s="6" t="s">
        <v>13</v>
      </c>
      <c r="I6" s="14">
        <f t="shared" ref="I6:I16" si="0">G6-E6</f>
        <v>486316</v>
      </c>
      <c r="J6" s="14">
        <f t="shared" ref="J6:J16" si="1">G6-F6</f>
        <v>236007</v>
      </c>
      <c r="K6" s="14">
        <f t="shared" ref="K6:K16" si="2">G6-D6</f>
        <v>37938</v>
      </c>
    </row>
    <row r="7" spans="1:11" x14ac:dyDescent="0.25">
      <c r="A7" s="4" t="s">
        <v>14</v>
      </c>
      <c r="B7" s="5">
        <v>30289952</v>
      </c>
      <c r="C7" s="5">
        <v>30399952</v>
      </c>
      <c r="D7" s="5">
        <v>31471869</v>
      </c>
      <c r="E7" s="5">
        <v>30491514</v>
      </c>
      <c r="F7" s="5">
        <v>30771962</v>
      </c>
      <c r="G7" s="5">
        <v>31313290</v>
      </c>
      <c r="H7" s="6" t="s">
        <v>15</v>
      </c>
      <c r="I7" s="14">
        <f t="shared" si="0"/>
        <v>821776</v>
      </c>
      <c r="J7" s="14">
        <f t="shared" si="1"/>
        <v>541328</v>
      </c>
      <c r="K7" s="14">
        <f t="shared" si="2"/>
        <v>-158579</v>
      </c>
    </row>
    <row r="8" spans="1:11" x14ac:dyDescent="0.25">
      <c r="A8" s="4" t="s">
        <v>16</v>
      </c>
      <c r="B8" s="5">
        <v>33852990</v>
      </c>
      <c r="C8" s="5">
        <v>33852990</v>
      </c>
      <c r="D8" s="5">
        <v>34476441</v>
      </c>
      <c r="E8" s="5">
        <v>33079113</v>
      </c>
      <c r="F8" s="5">
        <v>32444958</v>
      </c>
      <c r="G8" s="5">
        <v>33871151</v>
      </c>
      <c r="H8" s="6" t="s">
        <v>17</v>
      </c>
      <c r="I8" s="14">
        <f t="shared" si="0"/>
        <v>792038</v>
      </c>
      <c r="J8" s="14">
        <f t="shared" si="1"/>
        <v>1426193</v>
      </c>
      <c r="K8" s="14">
        <f t="shared" si="2"/>
        <v>-605290</v>
      </c>
    </row>
    <row r="9" spans="1:11" x14ac:dyDescent="0.25">
      <c r="A9" s="4" t="s">
        <v>18</v>
      </c>
      <c r="B9" s="5">
        <v>35428627</v>
      </c>
      <c r="C9" s="5">
        <v>36828627</v>
      </c>
      <c r="D9" s="5">
        <v>35783921</v>
      </c>
      <c r="E9" s="5">
        <v>34940743</v>
      </c>
      <c r="F9" s="5">
        <v>36039619</v>
      </c>
      <c r="G9" s="5">
        <v>36252189</v>
      </c>
      <c r="H9" s="6" t="s">
        <v>19</v>
      </c>
      <c r="I9" s="14">
        <f t="shared" si="0"/>
        <v>1311446</v>
      </c>
      <c r="J9" s="14">
        <f t="shared" si="1"/>
        <v>212570</v>
      </c>
      <c r="K9" s="14">
        <f t="shared" si="2"/>
        <v>468268</v>
      </c>
    </row>
    <row r="10" spans="1:11" x14ac:dyDescent="0.25">
      <c r="A10" s="4" t="s">
        <v>20</v>
      </c>
      <c r="B10" s="5">
        <v>37710700</v>
      </c>
      <c r="C10" s="5">
        <v>38460700</v>
      </c>
      <c r="D10" s="5">
        <v>39353732</v>
      </c>
      <c r="E10" s="5">
        <v>37096803</v>
      </c>
      <c r="F10" s="5">
        <v>37302638</v>
      </c>
      <c r="G10" s="5">
        <v>40202753</v>
      </c>
      <c r="H10" s="6" t="s">
        <v>21</v>
      </c>
      <c r="I10" s="14">
        <f t="shared" si="0"/>
        <v>3105950</v>
      </c>
      <c r="J10" s="14">
        <f t="shared" si="1"/>
        <v>2900115</v>
      </c>
      <c r="K10" s="14">
        <f t="shared" si="2"/>
        <v>849021</v>
      </c>
    </row>
    <row r="11" spans="1:11" x14ac:dyDescent="0.25">
      <c r="A11" s="4" t="s">
        <v>22</v>
      </c>
      <c r="B11" s="5">
        <v>40800240</v>
      </c>
      <c r="C11" s="5">
        <v>41100240</v>
      </c>
      <c r="D11" s="5">
        <v>39980730</v>
      </c>
      <c r="E11" s="5">
        <v>40209466</v>
      </c>
      <c r="F11" s="5">
        <v>40369084</v>
      </c>
      <c r="G11" s="5">
        <v>39686283</v>
      </c>
      <c r="H11" s="6" t="s">
        <v>23</v>
      </c>
      <c r="I11" s="14">
        <f t="shared" si="0"/>
        <v>-523183</v>
      </c>
      <c r="J11" s="14">
        <f t="shared" si="1"/>
        <v>-682801</v>
      </c>
      <c r="K11" s="14">
        <f t="shared" si="2"/>
        <v>-294447</v>
      </c>
    </row>
    <row r="12" spans="1:11" x14ac:dyDescent="0.25">
      <c r="A12" s="4" t="s">
        <v>24</v>
      </c>
      <c r="B12" s="5">
        <v>39308198</v>
      </c>
      <c r="C12" s="5">
        <v>37968478</v>
      </c>
      <c r="D12" s="5">
        <v>43187475</v>
      </c>
      <c r="E12" s="5">
        <v>38049225</v>
      </c>
      <c r="F12" s="5">
        <v>37986670</v>
      </c>
      <c r="G12" s="5">
        <v>37210630</v>
      </c>
      <c r="H12" s="6" t="s">
        <v>25</v>
      </c>
      <c r="I12" s="14">
        <f t="shared" si="0"/>
        <v>-838595</v>
      </c>
      <c r="J12" s="14">
        <f t="shared" si="1"/>
        <v>-776040</v>
      </c>
      <c r="K12" s="14">
        <f t="shared" si="2"/>
        <v>-5976845</v>
      </c>
    </row>
    <row r="13" spans="1:11" ht="24" x14ac:dyDescent="0.25">
      <c r="A13" s="4" t="s">
        <v>26</v>
      </c>
      <c r="B13" s="5">
        <v>39449597</v>
      </c>
      <c r="C13" s="5">
        <v>41928597</v>
      </c>
      <c r="D13" s="5">
        <v>47024739</v>
      </c>
      <c r="E13" s="5">
        <v>39259267</v>
      </c>
      <c r="F13" s="5">
        <v>41661346</v>
      </c>
      <c r="G13" s="5">
        <v>40217837</v>
      </c>
      <c r="H13" s="6" t="s">
        <v>27</v>
      </c>
      <c r="I13" s="14">
        <f t="shared" si="0"/>
        <v>958570</v>
      </c>
      <c r="J13" s="14">
        <f t="shared" si="1"/>
        <v>-1443509</v>
      </c>
      <c r="K13" s="14">
        <f t="shared" si="2"/>
        <v>-6806902</v>
      </c>
    </row>
    <row r="14" spans="1:11" ht="24" x14ac:dyDescent="0.25">
      <c r="A14" s="4" t="s">
        <v>28</v>
      </c>
      <c r="B14" s="5">
        <v>45673445</v>
      </c>
      <c r="C14" s="5">
        <v>46897066</v>
      </c>
      <c r="D14" s="5">
        <v>50814603</v>
      </c>
      <c r="E14" s="5">
        <v>44281299</v>
      </c>
      <c r="F14" s="5">
        <v>46928173</v>
      </c>
      <c r="G14" s="5">
        <v>43456807</v>
      </c>
      <c r="H14" s="6" t="s">
        <v>29</v>
      </c>
      <c r="I14" s="14">
        <f t="shared" si="0"/>
        <v>-824492</v>
      </c>
      <c r="J14" s="14">
        <f t="shared" si="1"/>
        <v>-3471366</v>
      </c>
      <c r="K14" s="14">
        <f t="shared" si="2"/>
        <v>-7357796</v>
      </c>
    </row>
    <row r="15" spans="1:11" ht="24" x14ac:dyDescent="0.25">
      <c r="A15" s="4" t="s">
        <v>30</v>
      </c>
      <c r="B15" s="5">
        <v>48525092</v>
      </c>
      <c r="C15" s="5">
        <v>48679292</v>
      </c>
      <c r="D15" s="5">
        <v>52119903</v>
      </c>
      <c r="E15" s="5">
        <v>47852822</v>
      </c>
      <c r="F15" s="5">
        <v>51369923</v>
      </c>
      <c r="G15" s="5">
        <v>48670741</v>
      </c>
      <c r="H15" s="6" t="s">
        <v>31</v>
      </c>
      <c r="I15" s="14">
        <f t="shared" si="0"/>
        <v>817919</v>
      </c>
      <c r="J15" s="14">
        <f t="shared" si="1"/>
        <v>-2699182</v>
      </c>
      <c r="K15" s="14">
        <f t="shared" si="2"/>
        <v>-3449162</v>
      </c>
    </row>
    <row r="16" spans="1:11" ht="24" x14ac:dyDescent="0.25">
      <c r="A16" s="4" t="s">
        <v>32</v>
      </c>
      <c r="B16" s="5">
        <v>51382773</v>
      </c>
      <c r="C16" s="5">
        <v>51693308</v>
      </c>
      <c r="D16" s="5">
        <v>54133832</v>
      </c>
      <c r="E16" s="5">
        <v>50594164</v>
      </c>
      <c r="F16" s="5">
        <v>52567070</v>
      </c>
      <c r="G16" s="5">
        <v>51733005</v>
      </c>
      <c r="H16" s="6" t="s">
        <v>33</v>
      </c>
      <c r="I16" s="14">
        <f t="shared" si="0"/>
        <v>1138841</v>
      </c>
      <c r="J16" s="14">
        <f t="shared" si="1"/>
        <v>-834065</v>
      </c>
      <c r="K16" s="14">
        <f t="shared" si="2"/>
        <v>-2400827</v>
      </c>
    </row>
    <row r="17" spans="1:7" x14ac:dyDescent="0.25">
      <c r="A17" s="7" t="s">
        <v>34</v>
      </c>
      <c r="B17" s="8">
        <f t="shared" ref="B17:G17" si="3">SUM(B5:B16)</f>
        <v>458536915</v>
      </c>
      <c r="C17" s="8">
        <f t="shared" si="3"/>
        <v>464505736</v>
      </c>
      <c r="D17" s="8">
        <f t="shared" si="3"/>
        <v>485702856</v>
      </c>
      <c r="E17" s="8">
        <f t="shared" si="3"/>
        <v>452347397</v>
      </c>
      <c r="F17" s="8">
        <f t="shared" si="3"/>
        <v>464589996</v>
      </c>
      <c r="G17" s="8">
        <f t="shared" si="3"/>
        <v>460268118</v>
      </c>
    </row>
    <row r="19" spans="1:7" x14ac:dyDescent="0.25">
      <c r="A19" s="15" t="s">
        <v>78</v>
      </c>
      <c r="B19" s="14">
        <f>SUM(B5:B10,B16)</f>
        <v>244780343</v>
      </c>
      <c r="C19" s="14">
        <f t="shared" ref="C19:G19" si="4">SUM(C5:C10,C16)</f>
        <v>247932063</v>
      </c>
      <c r="D19" s="14">
        <f t="shared" si="4"/>
        <v>252575406</v>
      </c>
      <c r="E19" s="14">
        <f t="shared" si="4"/>
        <v>242695318</v>
      </c>
      <c r="F19" s="14">
        <f t="shared" si="4"/>
        <v>246274800</v>
      </c>
      <c r="G19" s="14">
        <f t="shared" si="4"/>
        <v>251025820</v>
      </c>
    </row>
  </sheetData>
  <mergeCells count="2">
    <mergeCell ref="A1:H1"/>
    <mergeCell ref="A2:H2"/>
  </mergeCells>
  <conditionalFormatting sqref="I5:J16">
    <cfRule type="cellIs" dxfId="2" priority="2" operator="greaterThan">
      <formula>0</formula>
    </cfRule>
  </conditionalFormatting>
  <conditionalFormatting sqref="K5:K16">
    <cfRule type="cellIs" dxfId="0" priority="1" operator="greaterThan">
      <formula>0</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zoomScaleNormal="100" workbookViewId="0">
      <pane xSplit="1" ySplit="4" topLeftCell="B5" activePane="bottomRight" state="frozen"/>
      <selection pane="topRight" activeCell="B1" sqref="B1"/>
      <selection pane="bottomLeft" activeCell="A5" sqref="A5"/>
      <selection pane="bottomRight" sqref="A1:H1"/>
    </sheetView>
  </sheetViews>
  <sheetFormatPr defaultColWidth="8.7109375" defaultRowHeight="15" x14ac:dyDescent="0.25"/>
  <cols>
    <col min="1" max="1" width="14.5703125" bestFit="1" customWidth="1"/>
    <col min="2" max="4" width="15" customWidth="1"/>
    <col min="5" max="7" width="16" customWidth="1"/>
    <col min="8" max="8" width="48" customWidth="1"/>
  </cols>
  <sheetData>
    <row r="1" spans="1:8" ht="18" x14ac:dyDescent="0.25">
      <c r="A1" s="2" t="s">
        <v>0</v>
      </c>
      <c r="B1" s="2"/>
      <c r="C1" s="2"/>
      <c r="D1" s="2"/>
      <c r="E1" s="2"/>
      <c r="F1" s="2"/>
      <c r="G1" s="2"/>
      <c r="H1" s="2"/>
    </row>
    <row r="2" spans="1:8" x14ac:dyDescent="0.25">
      <c r="A2" s="1" t="s">
        <v>1</v>
      </c>
      <c r="B2" s="1"/>
      <c r="C2" s="1"/>
      <c r="D2" s="1"/>
      <c r="E2" s="1"/>
      <c r="F2" s="1"/>
      <c r="G2" s="1"/>
      <c r="H2" s="1"/>
    </row>
    <row r="4" spans="1:8" ht="45" x14ac:dyDescent="0.25">
      <c r="A4" s="3" t="s">
        <v>2</v>
      </c>
      <c r="B4" s="3" t="s">
        <v>3</v>
      </c>
      <c r="C4" s="3" t="s">
        <v>4</v>
      </c>
      <c r="D4" s="3" t="s">
        <v>5</v>
      </c>
      <c r="E4" s="3" t="s">
        <v>6</v>
      </c>
      <c r="F4" s="3" t="s">
        <v>7</v>
      </c>
      <c r="G4" s="3" t="s">
        <v>8</v>
      </c>
      <c r="H4" s="3" t="s">
        <v>9</v>
      </c>
    </row>
    <row r="5" spans="1:8" x14ac:dyDescent="0.25">
      <c r="A5" s="4" t="s">
        <v>10</v>
      </c>
      <c r="B5" s="5">
        <v>27674700</v>
      </c>
      <c r="C5" s="5">
        <v>28005355</v>
      </c>
      <c r="D5" s="5">
        <v>28248936</v>
      </c>
      <c r="E5" s="5">
        <v>27834684</v>
      </c>
      <c r="F5" s="5">
        <v>28239947</v>
      </c>
      <c r="G5" s="5">
        <v>28508819</v>
      </c>
      <c r="H5" s="6" t="s">
        <v>11</v>
      </c>
    </row>
    <row r="6" spans="1:8" x14ac:dyDescent="0.25">
      <c r="A6" s="4" t="s">
        <v>12</v>
      </c>
      <c r="B6" s="5">
        <v>28440601</v>
      </c>
      <c r="C6" s="5">
        <v>28691131</v>
      </c>
      <c r="D6" s="5">
        <v>29106675</v>
      </c>
      <c r="E6" s="5">
        <v>28658297</v>
      </c>
      <c r="F6" s="5">
        <v>28908606</v>
      </c>
      <c r="G6" s="5">
        <v>29144613</v>
      </c>
      <c r="H6" s="6" t="s">
        <v>13</v>
      </c>
    </row>
    <row r="7" spans="1:8" x14ac:dyDescent="0.25">
      <c r="A7" s="4" t="s">
        <v>14</v>
      </c>
      <c r="B7" s="5">
        <v>30289952</v>
      </c>
      <c r="C7" s="5">
        <v>30399952</v>
      </c>
      <c r="D7" s="5">
        <v>31471869</v>
      </c>
      <c r="E7" s="5">
        <v>30491514</v>
      </c>
      <c r="F7" s="5">
        <v>30771962</v>
      </c>
      <c r="G7" s="5">
        <v>31313290</v>
      </c>
      <c r="H7" s="6" t="s">
        <v>15</v>
      </c>
    </row>
    <row r="8" spans="1:8" x14ac:dyDescent="0.25">
      <c r="A8" s="4" t="s">
        <v>16</v>
      </c>
      <c r="B8" s="5">
        <v>33852990</v>
      </c>
      <c r="C8" s="5">
        <v>33852990</v>
      </c>
      <c r="D8" s="5">
        <v>34476441</v>
      </c>
      <c r="E8" s="5">
        <v>33079113</v>
      </c>
      <c r="F8" s="5">
        <v>32444958</v>
      </c>
      <c r="G8" s="5">
        <v>33871151</v>
      </c>
      <c r="H8" s="6" t="s">
        <v>17</v>
      </c>
    </row>
    <row r="9" spans="1:8" x14ac:dyDescent="0.25">
      <c r="A9" s="4" t="s">
        <v>18</v>
      </c>
      <c r="B9" s="5">
        <v>35428627</v>
      </c>
      <c r="C9" s="5">
        <v>36828627</v>
      </c>
      <c r="D9" s="5">
        <v>35783921</v>
      </c>
      <c r="E9" s="5">
        <v>34940743</v>
      </c>
      <c r="F9" s="5">
        <v>36039619</v>
      </c>
      <c r="G9" s="5">
        <v>36252189</v>
      </c>
      <c r="H9" s="6" t="s">
        <v>19</v>
      </c>
    </row>
    <row r="10" spans="1:8" x14ac:dyDescent="0.25">
      <c r="A10" s="4" t="s">
        <v>20</v>
      </c>
      <c r="B10" s="5">
        <v>37710700</v>
      </c>
      <c r="C10" s="5">
        <v>38460700</v>
      </c>
      <c r="D10" s="5">
        <v>39353732</v>
      </c>
      <c r="E10" s="5">
        <v>37096803</v>
      </c>
      <c r="F10" s="5">
        <v>37302638</v>
      </c>
      <c r="G10" s="5">
        <v>40202753</v>
      </c>
      <c r="H10" s="6" t="s">
        <v>21</v>
      </c>
    </row>
    <row r="11" spans="1:8" x14ac:dyDescent="0.25">
      <c r="A11" s="4" t="s">
        <v>22</v>
      </c>
      <c r="B11" s="5">
        <v>40800240</v>
      </c>
      <c r="C11" s="5">
        <v>41100240</v>
      </c>
      <c r="D11" s="5">
        <v>39980730</v>
      </c>
      <c r="E11" s="5">
        <v>40209466</v>
      </c>
      <c r="F11" s="5">
        <v>40369084</v>
      </c>
      <c r="G11" s="5">
        <v>39686283</v>
      </c>
      <c r="H11" s="6" t="s">
        <v>23</v>
      </c>
    </row>
    <row r="12" spans="1:8" x14ac:dyDescent="0.25">
      <c r="A12" s="4" t="s">
        <v>24</v>
      </c>
      <c r="B12" s="5">
        <v>39308198</v>
      </c>
      <c r="C12" s="5">
        <v>37968478</v>
      </c>
      <c r="D12" s="5">
        <v>43187475</v>
      </c>
      <c r="E12" s="5">
        <v>38049225</v>
      </c>
      <c r="F12" s="5">
        <v>37986670</v>
      </c>
      <c r="G12" s="5">
        <v>37210630</v>
      </c>
      <c r="H12" s="6" t="s">
        <v>25</v>
      </c>
    </row>
    <row r="13" spans="1:8" ht="24" x14ac:dyDescent="0.25">
      <c r="A13" s="4" t="s">
        <v>26</v>
      </c>
      <c r="B13" s="5">
        <v>39449597</v>
      </c>
      <c r="C13" s="5">
        <v>41928597</v>
      </c>
      <c r="D13" s="5">
        <v>47024739</v>
      </c>
      <c r="E13" s="5">
        <v>39259267</v>
      </c>
      <c r="F13" s="5">
        <v>41661346</v>
      </c>
      <c r="G13" s="5">
        <v>40217837</v>
      </c>
      <c r="H13" s="6" t="s">
        <v>27</v>
      </c>
    </row>
    <row r="14" spans="1:8" ht="24" x14ac:dyDescent="0.25">
      <c r="A14" s="4" t="s">
        <v>28</v>
      </c>
      <c r="B14" s="5">
        <v>45673445</v>
      </c>
      <c r="C14" s="5">
        <v>46897066</v>
      </c>
      <c r="D14" s="5">
        <v>50814603</v>
      </c>
      <c r="E14" s="5">
        <v>44281299</v>
      </c>
      <c r="F14" s="5">
        <v>46928173</v>
      </c>
      <c r="G14" s="5">
        <v>43456807</v>
      </c>
      <c r="H14" s="6" t="s">
        <v>29</v>
      </c>
    </row>
    <row r="15" spans="1:8" ht="24" x14ac:dyDescent="0.25">
      <c r="A15" s="4" t="s">
        <v>30</v>
      </c>
      <c r="B15" s="5">
        <v>48525092</v>
      </c>
      <c r="C15" s="5">
        <v>48679292</v>
      </c>
      <c r="D15" s="5">
        <v>52119903</v>
      </c>
      <c r="E15" s="5">
        <v>47852822</v>
      </c>
      <c r="F15" s="5">
        <v>51369923</v>
      </c>
      <c r="G15" s="5">
        <v>48670741</v>
      </c>
      <c r="H15" s="6" t="s">
        <v>31</v>
      </c>
    </row>
    <row r="16" spans="1:8" ht="24" x14ac:dyDescent="0.25">
      <c r="A16" s="4" t="s">
        <v>32</v>
      </c>
      <c r="B16" s="5">
        <v>51382773</v>
      </c>
      <c r="C16" s="5">
        <v>51693308</v>
      </c>
      <c r="D16" s="5">
        <v>54133832</v>
      </c>
      <c r="E16" s="5">
        <v>50594164</v>
      </c>
      <c r="F16" s="5">
        <v>52567070</v>
      </c>
      <c r="G16" s="5">
        <v>51733005</v>
      </c>
      <c r="H16" s="6" t="s">
        <v>33</v>
      </c>
    </row>
    <row r="17" spans="1:7" x14ac:dyDescent="0.25">
      <c r="A17" s="7" t="s">
        <v>34</v>
      </c>
      <c r="B17" s="8">
        <f t="shared" ref="B17:G17" si="0">SUM(B5:B16)</f>
        <v>458536915</v>
      </c>
      <c r="C17" s="8">
        <f t="shared" si="0"/>
        <v>464505736</v>
      </c>
      <c r="D17" s="8">
        <f t="shared" si="0"/>
        <v>485702856</v>
      </c>
      <c r="E17" s="8">
        <f t="shared" si="0"/>
        <v>452347397</v>
      </c>
      <c r="F17" s="8">
        <f t="shared" si="0"/>
        <v>464589996</v>
      </c>
      <c r="G17" s="8">
        <f t="shared" si="0"/>
        <v>460268118</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zoomScaleNormal="100" workbookViewId="0">
      <pane xSplit="1" ySplit="4" topLeftCell="B5" activePane="bottomRight" state="frozen"/>
      <selection pane="topRight" activeCell="B1" sqref="B1"/>
      <selection pane="bottomLeft" activeCell="A5" sqref="A5"/>
      <selection pane="bottomRight" sqref="A1:H1"/>
    </sheetView>
  </sheetViews>
  <sheetFormatPr defaultColWidth="8.7109375" defaultRowHeight="15" x14ac:dyDescent="0.25"/>
  <cols>
    <col min="1" max="1" width="13" customWidth="1"/>
    <col min="2" max="2" width="10" customWidth="1"/>
    <col min="3" max="3" width="16" customWidth="1"/>
    <col min="4" max="4" width="14" customWidth="1"/>
    <col min="5" max="7" width="46" customWidth="1"/>
  </cols>
  <sheetData>
    <row r="1" spans="1:8" ht="18" x14ac:dyDescent="0.25">
      <c r="A1" s="2" t="s">
        <v>35</v>
      </c>
      <c r="B1" s="2"/>
      <c r="C1" s="2"/>
      <c r="D1" s="2"/>
      <c r="E1" s="2"/>
      <c r="F1" s="2"/>
      <c r="G1" s="2"/>
      <c r="H1" s="2"/>
    </row>
    <row r="2" spans="1:8" x14ac:dyDescent="0.25">
      <c r="A2" s="1" t="s">
        <v>36</v>
      </c>
      <c r="B2" s="1"/>
      <c r="C2" s="1"/>
      <c r="D2" s="1"/>
      <c r="E2" s="1"/>
      <c r="F2" s="1"/>
      <c r="G2" s="1"/>
      <c r="H2" s="1"/>
    </row>
    <row r="4" spans="1:8" ht="30" x14ac:dyDescent="0.25">
      <c r="A4" s="3" t="s">
        <v>2</v>
      </c>
      <c r="B4" s="3" t="s">
        <v>37</v>
      </c>
      <c r="C4" s="3" t="s">
        <v>38</v>
      </c>
      <c r="D4" s="3" t="s">
        <v>39</v>
      </c>
      <c r="E4" s="3" t="s">
        <v>40</v>
      </c>
      <c r="F4" s="3" t="s">
        <v>9</v>
      </c>
      <c r="G4" s="3" t="s">
        <v>9</v>
      </c>
    </row>
    <row r="5" spans="1:8" x14ac:dyDescent="0.25">
      <c r="A5" s="4" t="s">
        <v>22</v>
      </c>
      <c r="B5" s="9" t="s">
        <v>41</v>
      </c>
      <c r="C5" s="5" t="s">
        <v>42</v>
      </c>
      <c r="D5" s="5">
        <v>12745173</v>
      </c>
      <c r="E5" s="10" t="s">
        <v>43</v>
      </c>
      <c r="F5" s="6" t="s">
        <v>44</v>
      </c>
      <c r="G5" s="11"/>
    </row>
    <row r="6" spans="1:8" x14ac:dyDescent="0.25">
      <c r="A6" s="4" t="s">
        <v>22</v>
      </c>
      <c r="B6" s="9" t="s">
        <v>41</v>
      </c>
      <c r="C6" s="5" t="s">
        <v>45</v>
      </c>
      <c r="D6" s="5">
        <v>12514000</v>
      </c>
      <c r="E6" s="10" t="s">
        <v>43</v>
      </c>
      <c r="F6" s="6" t="s">
        <v>44</v>
      </c>
      <c r="G6" s="11"/>
    </row>
    <row r="7" spans="1:8" x14ac:dyDescent="0.25">
      <c r="A7" s="4" t="s">
        <v>22</v>
      </c>
      <c r="B7" s="9" t="s">
        <v>41</v>
      </c>
      <c r="C7" s="5" t="s">
        <v>46</v>
      </c>
      <c r="D7" s="5">
        <v>12199388</v>
      </c>
      <c r="E7" s="10" t="s">
        <v>43</v>
      </c>
      <c r="F7" s="6" t="s">
        <v>44</v>
      </c>
      <c r="G7" s="11"/>
    </row>
    <row r="8" spans="1:8" x14ac:dyDescent="0.25">
      <c r="A8" s="4" t="s">
        <v>22</v>
      </c>
      <c r="B8" s="9" t="s">
        <v>47</v>
      </c>
      <c r="C8" s="5" t="s">
        <v>42</v>
      </c>
      <c r="D8" s="5">
        <v>10762911</v>
      </c>
      <c r="E8" s="10" t="s">
        <v>43</v>
      </c>
      <c r="F8" s="6" t="s">
        <v>44</v>
      </c>
      <c r="G8" s="11"/>
    </row>
    <row r="9" spans="1:8" x14ac:dyDescent="0.25">
      <c r="A9" s="4" t="s">
        <v>22</v>
      </c>
      <c r="B9" s="9" t="s">
        <v>47</v>
      </c>
      <c r="C9" s="5" t="s">
        <v>45</v>
      </c>
      <c r="D9" s="5">
        <v>11177828</v>
      </c>
      <c r="E9" s="10" t="s">
        <v>43</v>
      </c>
      <c r="F9" s="6" t="s">
        <v>44</v>
      </c>
      <c r="G9" s="11"/>
    </row>
    <row r="10" spans="1:8" x14ac:dyDescent="0.25">
      <c r="A10" s="4" t="s">
        <v>22</v>
      </c>
      <c r="B10" s="9" t="s">
        <v>47</v>
      </c>
      <c r="C10" s="5" t="s">
        <v>46</v>
      </c>
      <c r="D10" s="5">
        <v>11182414</v>
      </c>
      <c r="E10" s="10" t="s">
        <v>43</v>
      </c>
      <c r="F10" s="6" t="s">
        <v>44</v>
      </c>
      <c r="G10" s="11"/>
    </row>
    <row r="11" spans="1:8" x14ac:dyDescent="0.25">
      <c r="A11" s="4" t="s">
        <v>24</v>
      </c>
      <c r="B11" s="9" t="s">
        <v>41</v>
      </c>
      <c r="C11" s="9" t="s">
        <v>42</v>
      </c>
      <c r="D11" s="5">
        <v>12233733</v>
      </c>
      <c r="E11" s="6" t="s">
        <v>43</v>
      </c>
      <c r="F11" s="6" t="s">
        <v>48</v>
      </c>
    </row>
    <row r="12" spans="1:8" x14ac:dyDescent="0.25">
      <c r="A12" s="4" t="s">
        <v>24</v>
      </c>
      <c r="B12" s="9" t="s">
        <v>41</v>
      </c>
      <c r="C12" s="9" t="s">
        <v>45</v>
      </c>
      <c r="D12" s="5">
        <v>12158733</v>
      </c>
      <c r="E12" s="6" t="s">
        <v>43</v>
      </c>
      <c r="F12" s="6" t="s">
        <v>48</v>
      </c>
    </row>
    <row r="13" spans="1:8" x14ac:dyDescent="0.25">
      <c r="A13" s="4" t="s">
        <v>24</v>
      </c>
      <c r="B13" s="9" t="s">
        <v>41</v>
      </c>
      <c r="C13" s="9" t="s">
        <v>46</v>
      </c>
      <c r="D13" s="5">
        <v>11629196</v>
      </c>
      <c r="E13" s="6" t="s">
        <v>43</v>
      </c>
      <c r="F13" s="6" t="s">
        <v>48</v>
      </c>
    </row>
    <row r="14" spans="1:8" x14ac:dyDescent="0.25">
      <c r="A14" s="4" t="s">
        <v>24</v>
      </c>
      <c r="B14" s="9" t="s">
        <v>47</v>
      </c>
      <c r="C14" s="9" t="s">
        <v>42</v>
      </c>
      <c r="D14" s="5">
        <v>11645813</v>
      </c>
      <c r="E14" s="6" t="s">
        <v>43</v>
      </c>
      <c r="F14" s="6" t="s">
        <v>48</v>
      </c>
    </row>
    <row r="15" spans="1:8" x14ac:dyDescent="0.25">
      <c r="A15" s="4" t="s">
        <v>24</v>
      </c>
      <c r="B15" s="9" t="s">
        <v>47</v>
      </c>
      <c r="C15" s="9" t="s">
        <v>45</v>
      </c>
      <c r="D15" s="5">
        <v>12345813</v>
      </c>
      <c r="E15" s="6" t="s">
        <v>43</v>
      </c>
      <c r="F15" s="6" t="s">
        <v>48</v>
      </c>
    </row>
    <row r="16" spans="1:8" x14ac:dyDescent="0.25">
      <c r="A16" s="4" t="s">
        <v>24</v>
      </c>
      <c r="B16" s="9" t="s">
        <v>47</v>
      </c>
      <c r="C16" s="9" t="s">
        <v>46</v>
      </c>
      <c r="D16" s="5">
        <v>12168376</v>
      </c>
      <c r="E16" s="6" t="s">
        <v>43</v>
      </c>
      <c r="F16" s="6" t="s">
        <v>48</v>
      </c>
    </row>
    <row r="17" spans="1:6" ht="24" x14ac:dyDescent="0.25">
      <c r="A17" s="4" t="s">
        <v>32</v>
      </c>
      <c r="B17" s="9" t="s">
        <v>41</v>
      </c>
      <c r="C17" s="9" t="s">
        <v>46</v>
      </c>
      <c r="D17" s="5">
        <v>14902515</v>
      </c>
      <c r="E17" s="6" t="s">
        <v>49</v>
      </c>
      <c r="F17" s="6" t="s">
        <v>50</v>
      </c>
    </row>
    <row r="18" spans="1:6" ht="24" x14ac:dyDescent="0.25">
      <c r="A18" s="4" t="s">
        <v>32</v>
      </c>
      <c r="B18" s="9" t="s">
        <v>47</v>
      </c>
      <c r="C18" s="9" t="s">
        <v>46</v>
      </c>
      <c r="D18" s="5">
        <v>16400399</v>
      </c>
      <c r="E18" s="6" t="s">
        <v>49</v>
      </c>
      <c r="F18" s="6" t="s">
        <v>50</v>
      </c>
    </row>
    <row r="19" spans="1:6" ht="24" x14ac:dyDescent="0.25">
      <c r="A19" s="4" t="s">
        <v>51</v>
      </c>
      <c r="B19" s="9" t="s">
        <v>41</v>
      </c>
      <c r="C19" s="9" t="s">
        <v>52</v>
      </c>
      <c r="D19" s="5">
        <v>15323961</v>
      </c>
      <c r="E19" s="6" t="s">
        <v>53</v>
      </c>
      <c r="F19" s="6" t="s">
        <v>50</v>
      </c>
    </row>
    <row r="20" spans="1:6" ht="24" x14ac:dyDescent="0.25">
      <c r="A20" s="4" t="s">
        <v>51</v>
      </c>
      <c r="B20" s="9" t="s">
        <v>47</v>
      </c>
      <c r="C20" s="9" t="s">
        <v>52</v>
      </c>
      <c r="D20" s="5">
        <v>16144408</v>
      </c>
      <c r="E20" s="6" t="s">
        <v>53</v>
      </c>
      <c r="F20" s="6" t="s">
        <v>50</v>
      </c>
    </row>
    <row r="21" spans="1:6" ht="24" x14ac:dyDescent="0.25">
      <c r="A21" s="4" t="s">
        <v>54</v>
      </c>
      <c r="B21" s="9" t="s">
        <v>41</v>
      </c>
      <c r="C21" s="9" t="s">
        <v>55</v>
      </c>
      <c r="D21" s="5">
        <v>16633894</v>
      </c>
      <c r="E21" s="6" t="s">
        <v>56</v>
      </c>
      <c r="F21" s="6" t="s">
        <v>50</v>
      </c>
    </row>
    <row r="22" spans="1:6" ht="24" x14ac:dyDescent="0.25">
      <c r="A22" s="4" t="s">
        <v>54</v>
      </c>
      <c r="B22" s="9" t="s">
        <v>47</v>
      </c>
      <c r="C22" s="9" t="s">
        <v>55</v>
      </c>
      <c r="D22" s="5">
        <v>17339840</v>
      </c>
      <c r="E22" s="6" t="s">
        <v>56</v>
      </c>
      <c r="F22" s="6" t="s">
        <v>50</v>
      </c>
    </row>
    <row r="23" spans="1:6" ht="24" x14ac:dyDescent="0.25">
      <c r="A23" s="4" t="s">
        <v>57</v>
      </c>
      <c r="B23" s="9" t="s">
        <v>41</v>
      </c>
      <c r="C23" s="9" t="s">
        <v>55</v>
      </c>
      <c r="D23" s="5">
        <v>17517534</v>
      </c>
      <c r="E23" s="6" t="s">
        <v>56</v>
      </c>
      <c r="F23" s="6" t="s">
        <v>50</v>
      </c>
    </row>
    <row r="24" spans="1:6" ht="24" x14ac:dyDescent="0.25">
      <c r="A24" s="4" t="s">
        <v>57</v>
      </c>
      <c r="B24" s="9" t="s">
        <v>47</v>
      </c>
      <c r="C24" s="9" t="s">
        <v>55</v>
      </c>
      <c r="D24" s="5">
        <v>17911556</v>
      </c>
      <c r="E24" s="6" t="s">
        <v>56</v>
      </c>
      <c r="F24" s="6" t="s">
        <v>50</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election sqref="A1:B1"/>
    </sheetView>
  </sheetViews>
  <sheetFormatPr defaultColWidth="8.7109375" defaultRowHeight="15" x14ac:dyDescent="0.25"/>
  <cols>
    <col min="1" max="1" width="34" customWidth="1"/>
    <col min="2" max="2" width="100" customWidth="1"/>
  </cols>
  <sheetData>
    <row r="1" spans="1:2" ht="18" x14ac:dyDescent="0.25">
      <c r="A1" s="2" t="s">
        <v>58</v>
      </c>
      <c r="B1" s="2"/>
    </row>
    <row r="3" spans="1:2" ht="90" customHeight="1" x14ac:dyDescent="0.25">
      <c r="A3" s="12" t="s">
        <v>59</v>
      </c>
      <c r="B3" s="11" t="s">
        <v>60</v>
      </c>
    </row>
    <row r="5" spans="1:2" ht="45" customHeight="1" x14ac:dyDescent="0.25">
      <c r="A5" s="12" t="s">
        <v>61</v>
      </c>
      <c r="B5" s="11" t="s">
        <v>62</v>
      </c>
    </row>
    <row r="7" spans="1:2" ht="45" customHeight="1" x14ac:dyDescent="0.25">
      <c r="A7" s="12" t="s">
        <v>63</v>
      </c>
      <c r="B7" s="11" t="s">
        <v>64</v>
      </c>
    </row>
    <row r="9" spans="1:2" ht="105" customHeight="1" x14ac:dyDescent="0.25">
      <c r="A9" s="12" t="s">
        <v>65</v>
      </c>
      <c r="B9" s="11" t="s">
        <v>66</v>
      </c>
    </row>
    <row r="11" spans="1:2" ht="135" customHeight="1" x14ac:dyDescent="0.25">
      <c r="A11" s="12" t="s">
        <v>67</v>
      </c>
      <c r="B11" s="11" t="s">
        <v>68</v>
      </c>
    </row>
    <row r="13" spans="1:2" ht="60" customHeight="1" x14ac:dyDescent="0.25">
      <c r="A13" s="12" t="s">
        <v>69</v>
      </c>
      <c r="B13" s="11" t="s">
        <v>70</v>
      </c>
    </row>
    <row r="15" spans="1:2" ht="75" customHeight="1" x14ac:dyDescent="0.25">
      <c r="A15" s="12" t="s">
        <v>71</v>
      </c>
      <c r="B15" s="11" t="s">
        <v>72</v>
      </c>
    </row>
    <row r="17" spans="1:2" ht="75" customHeight="1" x14ac:dyDescent="0.25">
      <c r="A17" s="12" t="s">
        <v>73</v>
      </c>
      <c r="B17" s="11" t="s">
        <v>74</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Changes </vt:lpstr>
      <vt:lpstr>GF Summary FY14-25</vt:lpstr>
      <vt:lpstr>Police &amp; Fire Detail</vt:lpstr>
      <vt:lpstr>Notes &amp; Caveats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Ira Sharenow</cp:lastModifiedBy>
  <cp:revision>0</cp:revision>
  <dcterms:created xsi:type="dcterms:W3CDTF">2026-09-10T00:46:17Z</dcterms:created>
  <dcterms:modified xsi:type="dcterms:W3CDTF">2026-09-11T05:58:36Z</dcterms:modified>
  <dc:language>en-US</dc:language>
</cp:coreProperties>
</file>