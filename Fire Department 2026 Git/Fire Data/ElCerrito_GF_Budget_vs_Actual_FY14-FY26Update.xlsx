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ocuments\Employment\2026 job search\GitHub\portfolio\Fire Department 2026 Git\Fire Data\"/>
    </mc:Choice>
  </mc:AlternateContent>
  <xr:revisionPtr revIDLastSave="15" documentId="8_{93B4C72F-8D88-4939-95BE-2A3526253DE9}" xr6:coauthVersionLast="47" xr6:coauthVersionMax="47" xr10:uidLastSave="{AA6D323B-91F7-4FA0-82B8-27C3EC528F4F}"/>
  <bookViews>
    <workbookView xWindow="-120" yWindow="-120" windowWidth="29040" windowHeight="15720" tabRatio="500" xr2:uid="{00000000-000D-0000-FFFF-FFFF00000000}"/>
  </bookViews>
  <sheets>
    <sheet name="Changes  (2)" sheetId="5" r:id="rId1"/>
    <sheet name="Changes " sheetId="1" r:id="rId2"/>
    <sheet name="GF Summary FY14-26" sheetId="2" r:id="rId3"/>
    <sheet name="Police &amp; Fire Detail" sheetId="3" r:id="rId4"/>
    <sheet name="Notes &amp; Caveats"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18" i="5" l="1"/>
  <c r="L6" i="5"/>
  <c r="L7" i="5"/>
  <c r="L8" i="5"/>
  <c r="L9" i="5"/>
  <c r="L10" i="5"/>
  <c r="L11" i="5"/>
  <c r="L12" i="5"/>
  <c r="L13" i="5"/>
  <c r="L14" i="5"/>
  <c r="L15" i="5"/>
  <c r="L16" i="5"/>
  <c r="L17" i="5"/>
  <c r="L5" i="5"/>
  <c r="G18" i="5"/>
  <c r="F18" i="5"/>
  <c r="E18" i="5"/>
  <c r="D18" i="5"/>
  <c r="C18" i="5"/>
  <c r="B18" i="5"/>
  <c r="K17" i="5"/>
  <c r="J17" i="5"/>
  <c r="I17" i="5"/>
  <c r="K16" i="5"/>
  <c r="J16" i="5"/>
  <c r="I16" i="5"/>
  <c r="K15" i="5"/>
  <c r="J15" i="5"/>
  <c r="I15" i="5"/>
  <c r="K14" i="5"/>
  <c r="J14" i="5"/>
  <c r="I14" i="5"/>
  <c r="K13" i="5"/>
  <c r="J13" i="5"/>
  <c r="I13" i="5"/>
  <c r="K12" i="5"/>
  <c r="J12" i="5"/>
  <c r="I12" i="5"/>
  <c r="K11" i="5"/>
  <c r="J11" i="5"/>
  <c r="I11" i="5"/>
  <c r="K10" i="5"/>
  <c r="J10" i="5"/>
  <c r="I10" i="5"/>
  <c r="K9" i="5"/>
  <c r="J9" i="5"/>
  <c r="I9" i="5"/>
  <c r="K8" i="5"/>
  <c r="J8" i="5"/>
  <c r="I8" i="5"/>
  <c r="K7" i="5"/>
  <c r="J7" i="5"/>
  <c r="I7" i="5"/>
  <c r="K6" i="5"/>
  <c r="J6" i="5"/>
  <c r="I6" i="5"/>
  <c r="K5" i="5"/>
  <c r="J5" i="5"/>
  <c r="I5" i="5"/>
  <c r="G18" i="2"/>
  <c r="F18" i="2"/>
  <c r="E18" i="2"/>
  <c r="D18" i="2"/>
  <c r="C18" i="2"/>
  <c r="B18" i="2"/>
  <c r="G18" i="1"/>
  <c r="F18" i="1"/>
  <c r="E18" i="1"/>
  <c r="D18" i="1"/>
  <c r="C18" i="1"/>
  <c r="B18" i="1"/>
  <c r="K17" i="1"/>
  <c r="J17" i="1"/>
  <c r="I17" i="1"/>
  <c r="K16" i="1"/>
  <c r="J16" i="1"/>
  <c r="I16" i="1"/>
  <c r="K15" i="1"/>
  <c r="J15" i="1"/>
  <c r="I15" i="1"/>
  <c r="K14" i="1"/>
  <c r="J14" i="1"/>
  <c r="I14" i="1"/>
  <c r="K13" i="1"/>
  <c r="J13" i="1"/>
  <c r="I13" i="1"/>
  <c r="K12" i="1"/>
  <c r="J12" i="1"/>
  <c r="I12" i="1"/>
  <c r="K11" i="1"/>
  <c r="J11" i="1"/>
  <c r="I11" i="1"/>
  <c r="K10" i="1"/>
  <c r="J10" i="1"/>
  <c r="I10" i="1"/>
  <c r="K9" i="1"/>
  <c r="J9" i="1"/>
  <c r="I9" i="1"/>
  <c r="K8" i="1"/>
  <c r="J8" i="1"/>
  <c r="I8" i="1"/>
  <c r="K7" i="1"/>
  <c r="J7" i="1"/>
  <c r="I7" i="1"/>
  <c r="K6" i="1"/>
  <c r="J6" i="1"/>
  <c r="I6" i="1"/>
  <c r="K5" i="1"/>
  <c r="J5" i="1"/>
  <c r="I5" i="1"/>
</calcChain>
</file>

<file path=xl/sharedStrings.xml><?xml version="1.0" encoding="utf-8"?>
<sst xmlns="http://schemas.openxmlformats.org/spreadsheetml/2006/main" count="272" uniqueCount="93">
  <si>
    <t>City of El Cerrito — General Fund Budget vs. Actual, FY 2013-14 through FY 2025-26</t>
  </si>
  <si>
    <t>Source: Each year's Annual/Comprehensive Financial Report (ACFR/CAFR), General Fund Budgetary Comparison Schedule (Original / Final / Actual), FY2013-14–FY2024-25. FY2025-26 row is preliminary/unaudited — see row 18 and Notes tab for sourcing and caveats.</t>
  </si>
  <si>
    <t>Fiscal Year</t>
  </si>
  <si>
    <t>Original Budget
Revenues</t>
  </si>
  <si>
    <t>Final Budget
Revenues</t>
  </si>
  <si>
    <t>Actual
Revenues</t>
  </si>
  <si>
    <t>Original Budget
Expenditures</t>
  </si>
  <si>
    <t>Final Budget
Expenditures</t>
  </si>
  <si>
    <t>Actual
Expenditures</t>
  </si>
  <si>
    <t>Source Document</t>
  </si>
  <si>
    <t>Actual - Original</t>
  </si>
  <si>
    <t>Actual - Final</t>
  </si>
  <si>
    <t>Actual Exp - Actual Rev</t>
  </si>
  <si>
    <t>FY 2013-14</t>
  </si>
  <si>
    <t>14CAFR.pdf, Table A-3, p.15</t>
  </si>
  <si>
    <t>FY 2014-15</t>
  </si>
  <si>
    <t>2015cafr.pdf, Table 3, p.12</t>
  </si>
  <si>
    <t>FY 2015-16</t>
  </si>
  <si>
    <t>2016cafr.pdf, Table A-3, p.13</t>
  </si>
  <si>
    <t>FY 2016-17</t>
  </si>
  <si>
    <t>2017cafr.pdf, Table A-3, p.13</t>
  </si>
  <si>
    <t>FY 2017-18</t>
  </si>
  <si>
    <t>2018cafr_pdf.pdf (byte-shift decoded), Table A-3, p.12</t>
  </si>
  <si>
    <t>FY 2018-19</t>
  </si>
  <si>
    <t>2019_CAFR.pdf, Table A-3, p.~12</t>
  </si>
  <si>
    <t>FY 2019-20</t>
  </si>
  <si>
    <t>City_of_El_Cerrito_CAFR_2020..., Table A-3, p.13</t>
  </si>
  <si>
    <t>FY 2020-21</t>
  </si>
  <si>
    <t>City_of_El_Cerrito_ACFR_2021..., Table A-3</t>
  </si>
  <si>
    <t>FY 2021-22</t>
  </si>
  <si>
    <t>FY_2022_...ACFR-1.pdf, MD&amp;A budget table (Original/Final corrected — see Notes)</t>
  </si>
  <si>
    <t>FY 2022-23</t>
  </si>
  <si>
    <t>2022-2023_...Report.pdf, RSI Budgetary Comparison Schedule (Original/Final corrected — see Notes)</t>
  </si>
  <si>
    <t>FY 2023-24</t>
  </si>
  <si>
    <t>FY_2024_ACFR.pdf, RSI Budgetary Comparison Schedule (Original/Final corrected — see Notes)</t>
  </si>
  <si>
    <t>FY 2024-25</t>
  </si>
  <si>
    <t>2024-25_...ACFR...pdf, RSI Budgetary Comparison Schedule</t>
  </si>
  <si>
    <t>FY 2025-26 (Preliminary / Unaudited)</t>
  </si>
  <si>
    <t>Original: FY2024-25 &amp; FY2025-26 Biennial Budget Book (adopted June 2025), General Fund Revenue by Source &amp; Expense Objects tables, pp.51-56. Final/Actual: City of El Cerrito FY2025-26 Q4 General Fund Budget Update (through 6/30/2026) &amp; Agenda Bill 8.A (9/15/2026) — BOTH UNAUDITED; final audit in progress, ACFR expected to Council Dec 2026. Note: Final Budget Expenditure ($56,898,999) is $12,420 higher than Original + itemized amendments ($53,764,017+$3,147,402=$56,911,419); source of gap not identified — see Notes tab.</t>
  </si>
  <si>
    <t>13-Year Total (FY 2013-14–FY 2025-26 — FY 2025-26 figures preliminary/unaudited)</t>
  </si>
  <si>
    <t>City of El Cerrito — Police and Fire Department Budget vs. Actual (years with a departmental split available)</t>
  </si>
  <si>
    <t>Most years' General Fund budget schedule reports a single combined 'Public Safety' line (see GF Summary tab and Notes tab). A Police/Fire split is only available for the years below.</t>
  </si>
  <si>
    <t>Department</t>
  </si>
  <si>
    <t>Budget/Actual Figure</t>
  </si>
  <si>
    <t>Amount</t>
  </si>
  <si>
    <t>Basis / Column Label</t>
  </si>
  <si>
    <t>Police</t>
  </si>
  <si>
    <t>Original</t>
  </si>
  <si>
    <t>General Fund Budgetary Comparison Schedule</t>
  </si>
  <si>
    <t>City_of_El_Cerrito_CAFR_2020...pdf, Table A-3, p.13</t>
  </si>
  <si>
    <t>Final</t>
  </si>
  <si>
    <t>Actual</t>
  </si>
  <si>
    <t>Fire</t>
  </si>
  <si>
    <t>City_of_El_Cerrito_ACFR_2021_-_Final.pdf, Table A-3</t>
  </si>
  <si>
    <t>Budget workbook, by-department (not the ACFR schedule)</t>
  </si>
  <si>
    <t>ElCerrito_Budget_FY26_FY28_Projections.xlsx, Expenditure Detail</t>
  </si>
  <si>
    <t>FY 2025-26</t>
  </si>
  <si>
    <t>Amended Budget</t>
  </si>
  <si>
    <t>Budget workbook, by-department. Original Adopted figure now available — see rows 25-26 below.</t>
  </si>
  <si>
    <t>FY 2026-27</t>
  </si>
  <si>
    <t>Adopted Budget</t>
  </si>
  <si>
    <t>Biennial budget, by-department (no Final/Actual yet — future year)</t>
  </si>
  <si>
    <t>FY 2027-28</t>
  </si>
  <si>
    <t>Original Adopted</t>
  </si>
  <si>
    <t>General Fund Expenditures by Department table, FY2026 Budgeted column</t>
  </si>
  <si>
    <t>2025_dbb_city_of_el_cerrito_1724101498514.pdf, p.56</t>
  </si>
  <si>
    <t>Actual (Preliminary/Unaudited)</t>
  </si>
  <si>
    <t>Q4 GF Budget Update, Table 4 (by department) — unaudited, final ACFR due Dec 2026</t>
  </si>
  <si>
    <t>FY_2025-26_4th_Quarter_General_Fund_Update.pdf, Table 4</t>
  </si>
  <si>
    <t>Notes, Caveats, and Data Gaps</t>
  </si>
  <si>
    <t>No 'midyear' budget column exists</t>
  </si>
  <si>
    <t>Every CAFR/ACFR General Fund budgetary comparison schedule reports only three budget-stage columns: Original, Final (year-end amended budget, which incorporates any midyear revisions), and Actual. Several years' MD&amp;A narrative (e.g. FY2013-14, FY2015-16) describes revenues being 'reviewed at mid-year,' but no year publishes a distinct midyear-only budget figure. True midyear-adopted amounts, if needed, would require the City's midyear budget staff reports, which are not in this project's files.</t>
  </si>
  <si>
    <t>Scope covered</t>
  </si>
  <si>
    <t>Fiscal Years 2013-14 through 2024-25 (12 years) have verified Original/Final/Actual Revenue and Expenditure totals on the 'GF Summary FY14-25' tab, each pulled from that year's own CAFR/ACFR. The 13-Year Total row on the 'GF Summary FY14-25' and 'Changes' tabs (now the last data row) additionally sums in the preliminary/unaudited FY2025-26 figures — see the FY2025-26 row's Source Document note on those tabs.</t>
  </si>
  <si>
    <t>FY 2025-26 ('present') is incomplete</t>
  </si>
  <si>
    <t>UPDATED: FY 2025-26 Original Adopted budget is now verified from the FY2024-25 &amp; FY2025-26 Biennial Budget Book (adopted June 2025): Revenue $53,779,792 / Expenditure $53,764,017. Revenue is identical to the Amended (Final) Budget — no revenue-side amendments occurred all year; all $3,147,402 in Council-approved mid-year amendments hit expenditures only. A preliminary, UNAUDITED Actual is now available from the City's FY2025-26 Q4 General Fund Budget Update (through 6/30/2026): Revenue $55,435,251 / Expenditure $56,518,962. These are staff estimates pending the FY2025-26 audit (underway; final ACFR expected to Council December 2026) and may change. The FY2025-26 row on the GF Summary/Changes tabs is flagged Preliminary/Unaudited and is NOT included in the 12-Year (audited) Total.</t>
  </si>
  <si>
    <t>FY2022-FY2024 Original/Final column-order correction</t>
  </si>
  <si>
    <t>The raw PDF text extraction for the Total Revenues / Total Expenditures rows in the FY2022, FY2023, and FY2024 ACFRs printed the Original and Final columns in reversed order relative to the header row and relative to every category row beneath them. This was detected and corrected by cross-checking each Total row's printed variance figure (Final minus Actual for expenditures; Actual minus Final for revenues) against both possible column assignments — only one assignment reproduces the printed variance. The Total-row figures on the GF Summary tab reflect this correction.</t>
  </si>
  <si>
    <t>FY2022-FY2024 department-level figures omitted</t>
  </si>
  <si>
    <t>Individual expenditure category rows (General government, Public Works, Recreation, Community Development, Public Safety, etc.) in the FY2022-FY2024 schedules showed inconsistent Original/Final column ordering row-to-row in the extracted text (unlike the Total rows, which were consistently reversed). Because this could not be resolved with the same variance-formula method for every row, department-level Original/Final splits for these three years are not included here. Only the validated Totals are shown. Anyone needing category-level figures for FY22-24 should verify directly against the PDF page images (Required Supplementary Information section, 'Schedule of Revenues, Expenditures, and Changes in Fund Balance — Budget and Actual (GAAP Basis) — General Fund').</t>
  </si>
  <si>
    <t>Police / Fire departmental split — availability</t>
  </si>
  <si>
    <t>The General Fund budgetary comparison schedule breaks 'Public Safety' into separate Police and Fire lines only in the FY2019-20 and FY2020-21 CAFR/ACFR (see 'Police &amp; Fire Detail' tab). All other years (FY14-19, FY22-25) report a single combined 'Public safety' / 'Public Safety' line in that schedule.</t>
  </si>
  <si>
    <t>Police / Fire figures for FY25-FY28</t>
  </si>
  <si>
    <t>Separate Police and Fire figures for FY2024-25 (Actual), FY2025-26 (Amended), FY2026-27 (Adopted), and FY2027-28 (Adopted) come from the department-level breakdown in ElCerrito_Budget_FY26_FY28_Projections.xlsx — a budget-book source, not the ACFR schedule — and may use a somewhat different departmental allocation basis (e.g., cost allocation of shared services) than the ACFR's fund-level categories. Treat these as budget-book figures, not audited ACFR figures.</t>
  </si>
  <si>
    <t>Source files</t>
  </si>
  <si>
    <t>14CAFR.pdf, 2015cafr.pdf, 2016cafr.pdf, 2017cafr.pdf, 2018cafr_pdf.pdf, 2019_CAFR.pdf, City_of_El_Cerrito_CAFR_2020_-_FINAL_202102061949447160.pdf, City_of_El_Cerrito_ACFR_2021_-_Final.pdf, FY_2022_Annual_Comprehensive_Financial_Report__ACFR_-1.pdf, 2022-2023_Annual_Comprehensive_Financial_Report.pdf, FY_2024_ACFR.pdf, 2024-25_City_of_El_Cerrito_ACFR_C_ALLP_FINAL_-_Updated_Cover.pdf, ElCerrito_Budget_FY26_FY28_Projections.xlsx — all in the project's /mnt/project/ files.</t>
  </si>
  <si>
    <t>FY2025-26 Final Budget Expenditure — small reconciliation gap</t>
  </si>
  <si>
    <t>The Q4 report's Amended (Final) Budget Expenditure total ($56,898,999) is $12,420 higher than Original Adopted Expenditure ($53,764,017) plus the itemized Council-approved amendments total ($3,147,402) = $56,911,419. Source of the $12,420 gap was not identified in project files; immaterial (0.02% of budget) but flagged rather than silently reconciled.</t>
  </si>
  <si>
    <t>FY2025-26 Police/Fire Original Adopted and Actual added</t>
  </si>
  <si>
    <t>Original Adopted (Police $15,465,725 / Fire $15,825,790) sourced from the Biennial Budget Book's General Fund Expenditures by Department table (p.56). Preliminary/unaudited Actual (Police $15,541,520 / Fire $16,624,099) sourced from the FY2025-26 Q4 General Fund Budget Update, Table 4. Both added to the 'Police &amp; Fire Detail' tab (rows 25-28).</t>
  </si>
  <si>
    <t>Source files (added this update)</t>
  </si>
  <si>
    <t>2025_dbb_city_of_el_cerrito_1724101498514.pdf (FY2024-25 &amp; FY2025-26 Biennial Budget Book, adopted budget — General Fund Revenue by Source p.52, Expense Objects &amp; Expenditures by Department pp.55-56); FY_2025-26_4th_Quarter_General_Fund_Update.pdf (unaudited Amended/Actual through 6/30/2026); Agenda_Bill-7.pdf (Agenda Item 8.A, 9/15/2026, transmitting the Q4 update to Council) — all provided directly by the user, not from /mnt/project/.</t>
  </si>
  <si>
    <t>Overspend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</si>
</sst>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7" x14ac:knownFonts="1">
    <font>
      <sz val="11"/>
      <color theme="1"/>
      <name val="Calibri"/>
      <family val="2"/>
      <charset val="1"/>
    </font>
    <font>
      <b/>
      <sz val="14"/>
      <name val="Arial"/>
      <family val="2"/>
    </font>
    <font>
      <i/>
      <sz val="10"/>
      <color rgb="FF555555"/>
      <name val="Arial"/>
      <family val="2"/>
    </font>
    <font>
      <b/>
      <sz val="11"/>
      <color rgb="FFFFFFFF"/>
      <name val="Arial"/>
      <family val="2"/>
    </font>
    <font>
      <b/>
      <sz val="11"/>
      <name val="Arial"/>
      <family val="2"/>
    </font>
    <font>
      <sz val="11"/>
      <name val="Arial"/>
      <family val="2"/>
    </font>
    <font>
      <i/>
      <sz val="9"/>
      <name val="Arial"/>
      <family val="2"/>
    </font>
  </fonts>
  <fills count="3">
    <fill>
      <patternFill patternType="none"/>
    </fill>
    <fill>
      <patternFill patternType="gray125"/>
    </fill>
    <fill>
      <patternFill patternType="solid">
        <fgColor rgb="FF1F4E78"/>
        <bgColor rgb="FF003366"/>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16">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0" borderId="1" xfId="0" applyFont="1" applyBorder="1"/>
    <xf numFmtId="3" fontId="5" fillId="0" borderId="1" xfId="0" applyNumberFormat="1" applyFont="1" applyBorder="1" applyAlignment="1">
      <alignment horizontal="right"/>
    </xf>
    <xf numFmtId="0" fontId="6" fillId="0" borderId="1" xfId="0" applyFont="1" applyBorder="1" applyAlignment="1">
      <alignment vertical="top" wrapText="1"/>
    </xf>
    <xf numFmtId="3" fontId="0" fillId="0" borderId="0" xfId="0" applyNumberFormat="1"/>
    <xf numFmtId="0" fontId="4" fillId="0" borderId="0" xfId="0" applyFont="1"/>
    <xf numFmtId="3" fontId="4" fillId="0" borderId="1" xfId="0" applyNumberFormat="1" applyFont="1" applyBorder="1" applyAlignment="1">
      <alignment horizontal="right"/>
    </xf>
    <xf numFmtId="0" fontId="5" fillId="0" borderId="1" xfId="0" applyFont="1" applyBorder="1"/>
    <xf numFmtId="3" fontId="6" fillId="0" borderId="1" xfId="0" applyNumberFormat="1" applyFont="1" applyBorder="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1" fillId="0" borderId="0" xfId="0" applyFont="1"/>
    <xf numFmtId="0" fontId="2" fillId="0" borderId="0" xfId="0" applyFont="1"/>
    <xf numFmtId="164" fontId="0" fillId="0" borderId="0" xfId="0" applyNumberForma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4633B-CB2E-4284-B8E5-23C40751E905}">
  <dimension ref="A1:P18"/>
  <sheetViews>
    <sheetView tabSelected="1" zoomScaleNormal="100" workbookViewId="0">
      <pane xSplit="1" ySplit="4" topLeftCell="B5" activePane="bottomRight" state="frozen"/>
      <selection pane="topRight" activeCell="B1" sqref="B1"/>
      <selection pane="bottomLeft" activeCell="A5" sqref="A5"/>
      <selection pane="bottomRight" activeCell="I14" sqref="I14"/>
    </sheetView>
  </sheetViews>
  <sheetFormatPr defaultColWidth="8.7109375" defaultRowHeight="15" x14ac:dyDescent="0.25"/>
  <cols>
    <col min="1" max="1" width="14.5703125" customWidth="1"/>
    <col min="2" max="4" width="15" customWidth="1"/>
    <col min="5" max="7" width="16" customWidth="1"/>
    <col min="8" max="8" width="48" customWidth="1"/>
    <col min="9" max="9" width="10.28515625" customWidth="1"/>
    <col min="10" max="10" width="9.85546875" customWidth="1"/>
    <col min="11" max="11" width="12.85546875" customWidth="1"/>
    <col min="16" max="16" width="10.140625" bestFit="1" customWidth="1"/>
  </cols>
  <sheetData>
    <row r="1" spans="1:16" ht="18" customHeight="1" x14ac:dyDescent="0.25">
      <c r="A1" s="13" t="s">
        <v>0</v>
      </c>
      <c r="B1" s="13"/>
      <c r="C1" s="13"/>
      <c r="D1" s="13"/>
      <c r="E1" s="13"/>
      <c r="F1" s="13"/>
      <c r="G1" s="13"/>
      <c r="H1" s="13"/>
    </row>
    <row r="2" spans="1:16" ht="15" customHeight="1" x14ac:dyDescent="0.25">
      <c r="A2" s="14" t="s">
        <v>1</v>
      </c>
      <c r="B2" s="14"/>
      <c r="C2" s="14"/>
      <c r="D2" s="14"/>
      <c r="E2" s="14"/>
      <c r="F2" s="14"/>
      <c r="G2" s="14"/>
      <c r="H2" s="14"/>
    </row>
    <row r="4" spans="1:16" ht="60" customHeight="1" x14ac:dyDescent="0.25">
      <c r="A4" s="1" t="s">
        <v>2</v>
      </c>
      <c r="B4" s="1" t="s">
        <v>3</v>
      </c>
      <c r="C4" s="1" t="s">
        <v>4</v>
      </c>
      <c r="D4" s="1" t="s">
        <v>5</v>
      </c>
      <c r="E4" s="1" t="s">
        <v>6</v>
      </c>
      <c r="F4" s="1" t="s">
        <v>7</v>
      </c>
      <c r="G4" s="1" t="s">
        <v>8</v>
      </c>
      <c r="H4" s="1" t="s">
        <v>9</v>
      </c>
      <c r="I4" s="2" t="s">
        <v>10</v>
      </c>
      <c r="J4" s="2" t="s">
        <v>11</v>
      </c>
      <c r="K4" s="2" t="s">
        <v>12</v>
      </c>
      <c r="L4" s="2" t="s">
        <v>10</v>
      </c>
    </row>
    <row r="5" spans="1:16" ht="15" customHeight="1" x14ac:dyDescent="0.25">
      <c r="A5" s="3" t="s">
        <v>13</v>
      </c>
      <c r="B5" s="4">
        <v>27674700</v>
      </c>
      <c r="C5" s="4">
        <v>28005355</v>
      </c>
      <c r="D5" s="4">
        <v>28248936</v>
      </c>
      <c r="E5" s="4">
        <v>27834684</v>
      </c>
      <c r="F5" s="4">
        <v>28239947</v>
      </c>
      <c r="G5" s="4">
        <v>28508819</v>
      </c>
      <c r="H5" s="5" t="s">
        <v>14</v>
      </c>
      <c r="I5" s="6">
        <f t="shared" ref="I5:I17" si="0">G5-E5</f>
        <v>674135</v>
      </c>
      <c r="J5" s="6">
        <f t="shared" ref="J5:J17" si="1">G5-F5</f>
        <v>268872</v>
      </c>
      <c r="K5" s="6">
        <f t="shared" ref="K5:K17" si="2">G5-D5</f>
        <v>259883</v>
      </c>
      <c r="L5">
        <f>IF(I5&gt;0,1,0)</f>
        <v>1</v>
      </c>
    </row>
    <row r="6" spans="1:16" ht="15" customHeight="1" x14ac:dyDescent="0.25">
      <c r="A6" s="3" t="s">
        <v>15</v>
      </c>
      <c r="B6" s="4">
        <v>28440601</v>
      </c>
      <c r="C6" s="4">
        <v>28691131</v>
      </c>
      <c r="D6" s="4">
        <v>29106675</v>
      </c>
      <c r="E6" s="4">
        <v>28658297</v>
      </c>
      <c r="F6" s="4">
        <v>28908606</v>
      </c>
      <c r="G6" s="4">
        <v>29144613</v>
      </c>
      <c r="H6" s="5" t="s">
        <v>16</v>
      </c>
      <c r="I6" s="6">
        <f t="shared" si="0"/>
        <v>486316</v>
      </c>
      <c r="J6" s="6">
        <f t="shared" si="1"/>
        <v>236007</v>
      </c>
      <c r="K6" s="6">
        <f t="shared" si="2"/>
        <v>37938</v>
      </c>
      <c r="L6">
        <f t="shared" ref="L6:L17" si="3">IF(I6&gt;0,1,0)</f>
        <v>1</v>
      </c>
      <c r="O6" t="s">
        <v>2</v>
      </c>
      <c r="P6" t="s">
        <v>92</v>
      </c>
    </row>
    <row r="7" spans="1:16" ht="15" customHeight="1" x14ac:dyDescent="0.25">
      <c r="A7" s="3" t="s">
        <v>17</v>
      </c>
      <c r="B7" s="4">
        <v>30289952</v>
      </c>
      <c r="C7" s="4">
        <v>30399952</v>
      </c>
      <c r="D7" s="4">
        <v>31471869</v>
      </c>
      <c r="E7" s="4">
        <v>30491514</v>
      </c>
      <c r="F7" s="4">
        <v>30771962</v>
      </c>
      <c r="G7" s="4">
        <v>31313290</v>
      </c>
      <c r="H7" s="5" t="s">
        <v>18</v>
      </c>
      <c r="I7" s="6">
        <f t="shared" si="0"/>
        <v>821776</v>
      </c>
      <c r="J7" s="6">
        <f t="shared" si="1"/>
        <v>541328</v>
      </c>
      <c r="K7" s="6">
        <f t="shared" si="2"/>
        <v>-158579</v>
      </c>
      <c r="L7">
        <f t="shared" si="3"/>
        <v>1</v>
      </c>
      <c r="O7" s="3">
        <v>2024</v>
      </c>
      <c r="P7" s="15">
        <v>817919</v>
      </c>
    </row>
    <row r="8" spans="1:16" ht="15" customHeight="1" x14ac:dyDescent="0.25">
      <c r="A8" s="3" t="s">
        <v>19</v>
      </c>
      <c r="B8" s="4">
        <v>33852990</v>
      </c>
      <c r="C8" s="4">
        <v>33852990</v>
      </c>
      <c r="D8" s="4">
        <v>34476441</v>
      </c>
      <c r="E8" s="4">
        <v>33079113</v>
      </c>
      <c r="F8" s="4">
        <v>32444958</v>
      </c>
      <c r="G8" s="4">
        <v>33871151</v>
      </c>
      <c r="H8" s="5" t="s">
        <v>20</v>
      </c>
      <c r="I8" s="6">
        <f t="shared" si="0"/>
        <v>792038</v>
      </c>
      <c r="J8" s="6">
        <f t="shared" si="1"/>
        <v>1426193</v>
      </c>
      <c r="K8" s="6">
        <f t="shared" si="2"/>
        <v>-605290</v>
      </c>
      <c r="L8">
        <f t="shared" si="3"/>
        <v>1</v>
      </c>
      <c r="O8" s="3">
        <v>2025</v>
      </c>
      <c r="P8" s="15">
        <v>1138841</v>
      </c>
    </row>
    <row r="9" spans="1:16" ht="15" customHeight="1" x14ac:dyDescent="0.25">
      <c r="A9" s="3" t="s">
        <v>21</v>
      </c>
      <c r="B9" s="4">
        <v>35428627</v>
      </c>
      <c r="C9" s="4">
        <v>36828627</v>
      </c>
      <c r="D9" s="4">
        <v>35783921</v>
      </c>
      <c r="E9" s="4">
        <v>34940743</v>
      </c>
      <c r="F9" s="4">
        <v>36039619</v>
      </c>
      <c r="G9" s="4">
        <v>36252189</v>
      </c>
      <c r="H9" s="5" t="s">
        <v>22</v>
      </c>
      <c r="I9" s="6">
        <f t="shared" si="0"/>
        <v>1311446</v>
      </c>
      <c r="J9" s="6">
        <f t="shared" si="1"/>
        <v>212570</v>
      </c>
      <c r="K9" s="6">
        <f t="shared" si="2"/>
        <v>468268</v>
      </c>
      <c r="L9">
        <f t="shared" si="3"/>
        <v>1</v>
      </c>
      <c r="O9" s="3">
        <v>2026</v>
      </c>
      <c r="P9" s="15">
        <v>2754945</v>
      </c>
    </row>
    <row r="10" spans="1:16" ht="15" customHeight="1" x14ac:dyDescent="0.25">
      <c r="A10" s="3" t="s">
        <v>23</v>
      </c>
      <c r="B10" s="4">
        <v>37710700</v>
      </c>
      <c r="C10" s="4">
        <v>38460700</v>
      </c>
      <c r="D10" s="4">
        <v>39353732</v>
      </c>
      <c r="E10" s="4">
        <v>37096803</v>
      </c>
      <c r="F10" s="4">
        <v>37302638</v>
      </c>
      <c r="G10" s="4">
        <v>40202753</v>
      </c>
      <c r="H10" s="5" t="s">
        <v>24</v>
      </c>
      <c r="I10" s="6">
        <f t="shared" si="0"/>
        <v>3105950</v>
      </c>
      <c r="J10" s="6">
        <f t="shared" si="1"/>
        <v>2900115</v>
      </c>
      <c r="K10" s="6">
        <f t="shared" si="2"/>
        <v>849021</v>
      </c>
      <c r="L10">
        <f t="shared" si="3"/>
        <v>1</v>
      </c>
    </row>
    <row r="11" spans="1:16" ht="15" customHeight="1" x14ac:dyDescent="0.25">
      <c r="A11" s="3" t="s">
        <v>25</v>
      </c>
      <c r="B11" s="4">
        <v>40800240</v>
      </c>
      <c r="C11" s="4">
        <v>41100240</v>
      </c>
      <c r="D11" s="4">
        <v>39980730</v>
      </c>
      <c r="E11" s="4">
        <v>40209466</v>
      </c>
      <c r="F11" s="4">
        <v>40369084</v>
      </c>
      <c r="G11" s="4">
        <v>39686283</v>
      </c>
      <c r="H11" s="5" t="s">
        <v>26</v>
      </c>
      <c r="I11" s="6">
        <f t="shared" si="0"/>
        <v>-523183</v>
      </c>
      <c r="J11" s="6">
        <f t="shared" si="1"/>
        <v>-682801</v>
      </c>
      <c r="K11" s="6">
        <f t="shared" si="2"/>
        <v>-294447</v>
      </c>
      <c r="L11">
        <f t="shared" si="3"/>
        <v>0</v>
      </c>
    </row>
    <row r="12" spans="1:16" ht="15" customHeight="1" x14ac:dyDescent="0.25">
      <c r="A12" s="3" t="s">
        <v>27</v>
      </c>
      <c r="B12" s="4">
        <v>39308198</v>
      </c>
      <c r="C12" s="4">
        <v>37968478</v>
      </c>
      <c r="D12" s="4">
        <v>43187475</v>
      </c>
      <c r="E12" s="4">
        <v>38049225</v>
      </c>
      <c r="F12" s="4">
        <v>37986670</v>
      </c>
      <c r="G12" s="4">
        <v>37210630</v>
      </c>
      <c r="H12" s="5" t="s">
        <v>28</v>
      </c>
      <c r="I12" s="6">
        <f t="shared" si="0"/>
        <v>-838595</v>
      </c>
      <c r="J12" s="6">
        <f t="shared" si="1"/>
        <v>-776040</v>
      </c>
      <c r="K12" s="6">
        <f t="shared" si="2"/>
        <v>-5976845</v>
      </c>
      <c r="L12">
        <f t="shared" si="3"/>
        <v>0</v>
      </c>
    </row>
    <row r="13" spans="1:16" ht="24" customHeight="1" x14ac:dyDescent="0.25">
      <c r="A13" s="3" t="s">
        <v>29</v>
      </c>
      <c r="B13" s="4">
        <v>39449597</v>
      </c>
      <c r="C13" s="4">
        <v>41928597</v>
      </c>
      <c r="D13" s="4">
        <v>47024739</v>
      </c>
      <c r="E13" s="4">
        <v>39259267</v>
      </c>
      <c r="F13" s="4">
        <v>41661346</v>
      </c>
      <c r="G13" s="4">
        <v>40217837</v>
      </c>
      <c r="H13" s="5" t="s">
        <v>30</v>
      </c>
      <c r="I13" s="6">
        <f t="shared" si="0"/>
        <v>958570</v>
      </c>
      <c r="J13" s="6">
        <f t="shared" si="1"/>
        <v>-1443509</v>
      </c>
      <c r="K13" s="6">
        <f t="shared" si="2"/>
        <v>-6806902</v>
      </c>
      <c r="L13">
        <f t="shared" si="3"/>
        <v>1</v>
      </c>
    </row>
    <row r="14" spans="1:16" ht="24" customHeight="1" x14ac:dyDescent="0.25">
      <c r="A14" s="3" t="s">
        <v>31</v>
      </c>
      <c r="B14" s="4">
        <v>45673445</v>
      </c>
      <c r="C14" s="4">
        <v>46897066</v>
      </c>
      <c r="D14" s="4">
        <v>50814603</v>
      </c>
      <c r="E14" s="4">
        <v>44281299</v>
      </c>
      <c r="F14" s="4">
        <v>46928173</v>
      </c>
      <c r="G14" s="4">
        <v>43456807</v>
      </c>
      <c r="H14" s="5" t="s">
        <v>32</v>
      </c>
      <c r="I14" s="6">
        <f t="shared" si="0"/>
        <v>-824492</v>
      </c>
      <c r="J14" s="6">
        <f t="shared" si="1"/>
        <v>-3471366</v>
      </c>
      <c r="K14" s="6">
        <f t="shared" si="2"/>
        <v>-7357796</v>
      </c>
      <c r="L14">
        <f t="shared" si="3"/>
        <v>0</v>
      </c>
    </row>
    <row r="15" spans="1:16" ht="24" customHeight="1" x14ac:dyDescent="0.25">
      <c r="A15" s="3" t="s">
        <v>33</v>
      </c>
      <c r="B15" s="4">
        <v>48525092</v>
      </c>
      <c r="C15" s="4">
        <v>48679292</v>
      </c>
      <c r="D15" s="4">
        <v>52119903</v>
      </c>
      <c r="E15" s="4">
        <v>47852822</v>
      </c>
      <c r="F15" s="4">
        <v>51369923</v>
      </c>
      <c r="G15" s="4">
        <v>48670741</v>
      </c>
      <c r="H15" s="5" t="s">
        <v>34</v>
      </c>
      <c r="I15" s="6">
        <f t="shared" si="0"/>
        <v>817919</v>
      </c>
      <c r="J15" s="6">
        <f t="shared" si="1"/>
        <v>-2699182</v>
      </c>
      <c r="K15" s="6">
        <f t="shared" si="2"/>
        <v>-3449162</v>
      </c>
      <c r="L15">
        <f t="shared" si="3"/>
        <v>1</v>
      </c>
    </row>
    <row r="16" spans="1:16" ht="24" customHeight="1" x14ac:dyDescent="0.25">
      <c r="A16" s="3" t="s">
        <v>35</v>
      </c>
      <c r="B16" s="4">
        <v>51382773</v>
      </c>
      <c r="C16" s="4">
        <v>51693308</v>
      </c>
      <c r="D16" s="4">
        <v>54133832</v>
      </c>
      <c r="E16" s="4">
        <v>50594164</v>
      </c>
      <c r="F16" s="4">
        <v>52567070</v>
      </c>
      <c r="G16" s="4">
        <v>51733005</v>
      </c>
      <c r="H16" s="5" t="s">
        <v>36</v>
      </c>
      <c r="I16" s="6">
        <f t="shared" si="0"/>
        <v>1138841</v>
      </c>
      <c r="J16" s="6">
        <f t="shared" si="1"/>
        <v>-834065</v>
      </c>
      <c r="K16" s="6">
        <f t="shared" si="2"/>
        <v>-2400827</v>
      </c>
      <c r="L16">
        <f t="shared" si="3"/>
        <v>1</v>
      </c>
    </row>
    <row r="17" spans="1:12" ht="15" customHeight="1" x14ac:dyDescent="0.25">
      <c r="A17" s="3" t="s">
        <v>37</v>
      </c>
      <c r="B17" s="4">
        <v>53779792</v>
      </c>
      <c r="C17" s="4">
        <v>53779792</v>
      </c>
      <c r="D17" s="4">
        <v>55435251</v>
      </c>
      <c r="E17" s="4">
        <v>53764017</v>
      </c>
      <c r="F17" s="4">
        <v>56898999</v>
      </c>
      <c r="G17" s="4">
        <v>56518962</v>
      </c>
      <c r="H17" s="5" t="s">
        <v>38</v>
      </c>
      <c r="I17" s="6">
        <f t="shared" si="0"/>
        <v>2754945</v>
      </c>
      <c r="J17" s="6">
        <f t="shared" si="1"/>
        <v>-380037</v>
      </c>
      <c r="K17" s="6">
        <f t="shared" si="2"/>
        <v>1083711</v>
      </c>
      <c r="L17">
        <f t="shared" si="3"/>
        <v>1</v>
      </c>
    </row>
    <row r="18" spans="1:12" ht="105.75" customHeight="1" x14ac:dyDescent="0.25">
      <c r="A18" s="7" t="s">
        <v>39</v>
      </c>
      <c r="B18" s="8">
        <f t="shared" ref="B18:G18" si="4">SUM(B5:B17)</f>
        <v>512316707</v>
      </c>
      <c r="C18" s="8">
        <f t="shared" si="4"/>
        <v>518285528</v>
      </c>
      <c r="D18" s="8">
        <f t="shared" si="4"/>
        <v>541138107</v>
      </c>
      <c r="E18" s="8">
        <f t="shared" si="4"/>
        <v>506111414</v>
      </c>
      <c r="F18" s="8">
        <f t="shared" si="4"/>
        <v>521488995</v>
      </c>
      <c r="G18" s="8">
        <f t="shared" si="4"/>
        <v>516787080</v>
      </c>
      <c r="L18">
        <f>SUM(L5:L17)</f>
        <v>10</v>
      </c>
    </row>
  </sheetData>
  <mergeCells count="2">
    <mergeCell ref="A1:H1"/>
    <mergeCell ref="A2:H2"/>
  </mergeCells>
  <conditionalFormatting sqref="I5:K17">
    <cfRule type="cellIs" dxfId="0" priority="1" operator="greaterThan">
      <formula>0</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
  <sheetViews>
    <sheetView zoomScaleNormal="100" workbookViewId="0">
      <pane xSplit="1" ySplit="4" topLeftCell="B5" activePane="bottomRight" state="frozen"/>
      <selection pane="topRight" activeCell="B1" sqref="B1"/>
      <selection pane="bottomLeft" activeCell="A5" sqref="A5"/>
      <selection pane="bottomRight" activeCell="F12" sqref="F12"/>
    </sheetView>
  </sheetViews>
  <sheetFormatPr defaultColWidth="8.7109375" defaultRowHeight="15" x14ac:dyDescent="0.25"/>
  <cols>
    <col min="1" max="1" width="14.5703125" customWidth="1"/>
    <col min="2" max="4" width="15" customWidth="1"/>
    <col min="5" max="7" width="16" customWidth="1"/>
    <col min="8" max="8" width="48" customWidth="1"/>
    <col min="9" max="9" width="10.28515625" customWidth="1"/>
    <col min="10" max="10" width="9.85546875" customWidth="1"/>
    <col min="11" max="11" width="12.85546875" customWidth="1"/>
  </cols>
  <sheetData>
    <row r="1" spans="1:11" ht="18" customHeight="1" x14ac:dyDescent="0.25">
      <c r="A1" s="13" t="s">
        <v>0</v>
      </c>
      <c r="B1" s="13"/>
      <c r="C1" s="13"/>
      <c r="D1" s="13"/>
      <c r="E1" s="13"/>
      <c r="F1" s="13"/>
      <c r="G1" s="13"/>
      <c r="H1" s="13"/>
    </row>
    <row r="2" spans="1:11" ht="15" customHeight="1" x14ac:dyDescent="0.25">
      <c r="A2" s="14" t="s">
        <v>1</v>
      </c>
      <c r="B2" s="14"/>
      <c r="C2" s="14"/>
      <c r="D2" s="14"/>
      <c r="E2" s="14"/>
      <c r="F2" s="14"/>
      <c r="G2" s="14"/>
      <c r="H2" s="14"/>
    </row>
    <row r="4" spans="1:11" ht="60" customHeight="1" x14ac:dyDescent="0.25">
      <c r="A4" s="1" t="s">
        <v>2</v>
      </c>
      <c r="B4" s="1" t="s">
        <v>3</v>
      </c>
      <c r="C4" s="1" t="s">
        <v>4</v>
      </c>
      <c r="D4" s="1" t="s">
        <v>5</v>
      </c>
      <c r="E4" s="1" t="s">
        <v>6</v>
      </c>
      <c r="F4" s="1" t="s">
        <v>7</v>
      </c>
      <c r="G4" s="1" t="s">
        <v>8</v>
      </c>
      <c r="H4" s="1" t="s">
        <v>9</v>
      </c>
      <c r="I4" s="2" t="s">
        <v>10</v>
      </c>
      <c r="J4" s="2" t="s">
        <v>11</v>
      </c>
      <c r="K4" s="2" t="s">
        <v>12</v>
      </c>
    </row>
    <row r="5" spans="1:11" ht="15" customHeight="1" x14ac:dyDescent="0.25">
      <c r="A5" s="3" t="s">
        <v>13</v>
      </c>
      <c r="B5" s="4">
        <v>27674700</v>
      </c>
      <c r="C5" s="4">
        <v>28005355</v>
      </c>
      <c r="D5" s="4">
        <v>28248936</v>
      </c>
      <c r="E5" s="4">
        <v>27834684</v>
      </c>
      <c r="F5" s="4">
        <v>28239947</v>
      </c>
      <c r="G5" s="4">
        <v>28508819</v>
      </c>
      <c r="H5" s="5" t="s">
        <v>14</v>
      </c>
      <c r="I5" s="6">
        <f t="shared" ref="I5:I17" si="0">G5-E5</f>
        <v>674135</v>
      </c>
      <c r="J5" s="6">
        <f t="shared" ref="J5:J17" si="1">G5-F5</f>
        <v>268872</v>
      </c>
      <c r="K5" s="6">
        <f t="shared" ref="K5:K17" si="2">G5-D5</f>
        <v>259883</v>
      </c>
    </row>
    <row r="6" spans="1:11" ht="15" customHeight="1" x14ac:dyDescent="0.25">
      <c r="A6" s="3" t="s">
        <v>15</v>
      </c>
      <c r="B6" s="4">
        <v>28440601</v>
      </c>
      <c r="C6" s="4">
        <v>28691131</v>
      </c>
      <c r="D6" s="4">
        <v>29106675</v>
      </c>
      <c r="E6" s="4">
        <v>28658297</v>
      </c>
      <c r="F6" s="4">
        <v>28908606</v>
      </c>
      <c r="G6" s="4">
        <v>29144613</v>
      </c>
      <c r="H6" s="5" t="s">
        <v>16</v>
      </c>
      <c r="I6" s="6">
        <f t="shared" si="0"/>
        <v>486316</v>
      </c>
      <c r="J6" s="6">
        <f t="shared" si="1"/>
        <v>236007</v>
      </c>
      <c r="K6" s="6">
        <f t="shared" si="2"/>
        <v>37938</v>
      </c>
    </row>
    <row r="7" spans="1:11" ht="15" customHeight="1" x14ac:dyDescent="0.25">
      <c r="A7" s="3" t="s">
        <v>17</v>
      </c>
      <c r="B7" s="4">
        <v>30289952</v>
      </c>
      <c r="C7" s="4">
        <v>30399952</v>
      </c>
      <c r="D7" s="4">
        <v>31471869</v>
      </c>
      <c r="E7" s="4">
        <v>30491514</v>
      </c>
      <c r="F7" s="4">
        <v>30771962</v>
      </c>
      <c r="G7" s="4">
        <v>31313290</v>
      </c>
      <c r="H7" s="5" t="s">
        <v>18</v>
      </c>
      <c r="I7" s="6">
        <f t="shared" si="0"/>
        <v>821776</v>
      </c>
      <c r="J7" s="6">
        <f t="shared" si="1"/>
        <v>541328</v>
      </c>
      <c r="K7" s="6">
        <f t="shared" si="2"/>
        <v>-158579</v>
      </c>
    </row>
    <row r="8" spans="1:11" ht="15" customHeight="1" x14ac:dyDescent="0.25">
      <c r="A8" s="3" t="s">
        <v>19</v>
      </c>
      <c r="B8" s="4">
        <v>33852990</v>
      </c>
      <c r="C8" s="4">
        <v>33852990</v>
      </c>
      <c r="D8" s="4">
        <v>34476441</v>
      </c>
      <c r="E8" s="4">
        <v>33079113</v>
      </c>
      <c r="F8" s="4">
        <v>32444958</v>
      </c>
      <c r="G8" s="4">
        <v>33871151</v>
      </c>
      <c r="H8" s="5" t="s">
        <v>20</v>
      </c>
      <c r="I8" s="6">
        <f t="shared" si="0"/>
        <v>792038</v>
      </c>
      <c r="J8" s="6">
        <f t="shared" si="1"/>
        <v>1426193</v>
      </c>
      <c r="K8" s="6">
        <f t="shared" si="2"/>
        <v>-605290</v>
      </c>
    </row>
    <row r="9" spans="1:11" ht="15" customHeight="1" x14ac:dyDescent="0.25">
      <c r="A9" s="3" t="s">
        <v>21</v>
      </c>
      <c r="B9" s="4">
        <v>35428627</v>
      </c>
      <c r="C9" s="4">
        <v>36828627</v>
      </c>
      <c r="D9" s="4">
        <v>35783921</v>
      </c>
      <c r="E9" s="4">
        <v>34940743</v>
      </c>
      <c r="F9" s="4">
        <v>36039619</v>
      </c>
      <c r="G9" s="4">
        <v>36252189</v>
      </c>
      <c r="H9" s="5" t="s">
        <v>22</v>
      </c>
      <c r="I9" s="6">
        <f t="shared" si="0"/>
        <v>1311446</v>
      </c>
      <c r="J9" s="6">
        <f t="shared" si="1"/>
        <v>212570</v>
      </c>
      <c r="K9" s="6">
        <f t="shared" si="2"/>
        <v>468268</v>
      </c>
    </row>
    <row r="10" spans="1:11" ht="15" customHeight="1" x14ac:dyDescent="0.25">
      <c r="A10" s="3" t="s">
        <v>23</v>
      </c>
      <c r="B10" s="4">
        <v>37710700</v>
      </c>
      <c r="C10" s="4">
        <v>38460700</v>
      </c>
      <c r="D10" s="4">
        <v>39353732</v>
      </c>
      <c r="E10" s="4">
        <v>37096803</v>
      </c>
      <c r="F10" s="4">
        <v>37302638</v>
      </c>
      <c r="G10" s="4">
        <v>40202753</v>
      </c>
      <c r="H10" s="5" t="s">
        <v>24</v>
      </c>
      <c r="I10" s="6">
        <f t="shared" si="0"/>
        <v>3105950</v>
      </c>
      <c r="J10" s="6">
        <f t="shared" si="1"/>
        <v>2900115</v>
      </c>
      <c r="K10" s="6">
        <f t="shared" si="2"/>
        <v>849021</v>
      </c>
    </row>
    <row r="11" spans="1:11" ht="15" customHeight="1" x14ac:dyDescent="0.25">
      <c r="A11" s="3" t="s">
        <v>25</v>
      </c>
      <c r="B11" s="4">
        <v>40800240</v>
      </c>
      <c r="C11" s="4">
        <v>41100240</v>
      </c>
      <c r="D11" s="4">
        <v>39980730</v>
      </c>
      <c r="E11" s="4">
        <v>40209466</v>
      </c>
      <c r="F11" s="4">
        <v>40369084</v>
      </c>
      <c r="G11" s="4">
        <v>39686283</v>
      </c>
      <c r="H11" s="5" t="s">
        <v>26</v>
      </c>
      <c r="I11" s="6">
        <f t="shared" si="0"/>
        <v>-523183</v>
      </c>
      <c r="J11" s="6">
        <f t="shared" si="1"/>
        <v>-682801</v>
      </c>
      <c r="K11" s="6">
        <f t="shared" si="2"/>
        <v>-294447</v>
      </c>
    </row>
    <row r="12" spans="1:11" ht="15" customHeight="1" x14ac:dyDescent="0.25">
      <c r="A12" s="3" t="s">
        <v>27</v>
      </c>
      <c r="B12" s="4">
        <v>39308198</v>
      </c>
      <c r="C12" s="4">
        <v>37968478</v>
      </c>
      <c r="D12" s="4">
        <v>43187475</v>
      </c>
      <c r="E12" s="4">
        <v>38049225</v>
      </c>
      <c r="F12" s="4">
        <v>37986670</v>
      </c>
      <c r="G12" s="4">
        <v>37210630</v>
      </c>
      <c r="H12" s="5" t="s">
        <v>28</v>
      </c>
      <c r="I12" s="6">
        <f t="shared" si="0"/>
        <v>-838595</v>
      </c>
      <c r="J12" s="6">
        <f t="shared" si="1"/>
        <v>-776040</v>
      </c>
      <c r="K12" s="6">
        <f t="shared" si="2"/>
        <v>-5976845</v>
      </c>
    </row>
    <row r="13" spans="1:11" ht="24" customHeight="1" x14ac:dyDescent="0.25">
      <c r="A13" s="3" t="s">
        <v>29</v>
      </c>
      <c r="B13" s="4">
        <v>39449597</v>
      </c>
      <c r="C13" s="4">
        <v>41928597</v>
      </c>
      <c r="D13" s="4">
        <v>47024739</v>
      </c>
      <c r="E13" s="4">
        <v>39259267</v>
      </c>
      <c r="F13" s="4">
        <v>41661346</v>
      </c>
      <c r="G13" s="4">
        <v>40217837</v>
      </c>
      <c r="H13" s="5" t="s">
        <v>30</v>
      </c>
      <c r="I13" s="6">
        <f t="shared" si="0"/>
        <v>958570</v>
      </c>
      <c r="J13" s="6">
        <f t="shared" si="1"/>
        <v>-1443509</v>
      </c>
      <c r="K13" s="6">
        <f t="shared" si="2"/>
        <v>-6806902</v>
      </c>
    </row>
    <row r="14" spans="1:11" ht="24" customHeight="1" x14ac:dyDescent="0.25">
      <c r="A14" s="3" t="s">
        <v>31</v>
      </c>
      <c r="B14" s="4">
        <v>45673445</v>
      </c>
      <c r="C14" s="4">
        <v>46897066</v>
      </c>
      <c r="D14" s="4">
        <v>50814603</v>
      </c>
      <c r="E14" s="4">
        <v>44281299</v>
      </c>
      <c r="F14" s="4">
        <v>46928173</v>
      </c>
      <c r="G14" s="4">
        <v>43456807</v>
      </c>
      <c r="H14" s="5" t="s">
        <v>32</v>
      </c>
      <c r="I14" s="6">
        <f t="shared" si="0"/>
        <v>-824492</v>
      </c>
      <c r="J14" s="6">
        <f t="shared" si="1"/>
        <v>-3471366</v>
      </c>
      <c r="K14" s="6">
        <f t="shared" si="2"/>
        <v>-7357796</v>
      </c>
    </row>
    <row r="15" spans="1:11" ht="24" customHeight="1" x14ac:dyDescent="0.25">
      <c r="A15" s="3" t="s">
        <v>33</v>
      </c>
      <c r="B15" s="4">
        <v>48525092</v>
      </c>
      <c r="C15" s="4">
        <v>48679292</v>
      </c>
      <c r="D15" s="4">
        <v>52119903</v>
      </c>
      <c r="E15" s="4">
        <v>47852822</v>
      </c>
      <c r="F15" s="4">
        <v>51369923</v>
      </c>
      <c r="G15" s="4">
        <v>48670741</v>
      </c>
      <c r="H15" s="5" t="s">
        <v>34</v>
      </c>
      <c r="I15" s="6">
        <f t="shared" si="0"/>
        <v>817919</v>
      </c>
      <c r="J15" s="6">
        <f t="shared" si="1"/>
        <v>-2699182</v>
      </c>
      <c r="K15" s="6">
        <f t="shared" si="2"/>
        <v>-3449162</v>
      </c>
    </row>
    <row r="16" spans="1:11" ht="24" customHeight="1" x14ac:dyDescent="0.25">
      <c r="A16" s="3" t="s">
        <v>35</v>
      </c>
      <c r="B16" s="4">
        <v>51382773</v>
      </c>
      <c r="C16" s="4">
        <v>51693308</v>
      </c>
      <c r="D16" s="4">
        <v>54133832</v>
      </c>
      <c r="E16" s="4">
        <v>50594164</v>
      </c>
      <c r="F16" s="4">
        <v>52567070</v>
      </c>
      <c r="G16" s="4">
        <v>51733005</v>
      </c>
      <c r="H16" s="5" t="s">
        <v>36</v>
      </c>
      <c r="I16" s="6">
        <f t="shared" si="0"/>
        <v>1138841</v>
      </c>
      <c r="J16" s="6">
        <f t="shared" si="1"/>
        <v>-834065</v>
      </c>
      <c r="K16" s="6">
        <f t="shared" si="2"/>
        <v>-2400827</v>
      </c>
    </row>
    <row r="17" spans="1:11" ht="15" customHeight="1" x14ac:dyDescent="0.25">
      <c r="A17" s="3" t="s">
        <v>37</v>
      </c>
      <c r="B17" s="4">
        <v>53779792</v>
      </c>
      <c r="C17" s="4">
        <v>53779792</v>
      </c>
      <c r="D17" s="4">
        <v>55435251</v>
      </c>
      <c r="E17" s="4">
        <v>53764017</v>
      </c>
      <c r="F17" s="4">
        <v>56898999</v>
      </c>
      <c r="G17" s="4">
        <v>56518962</v>
      </c>
      <c r="H17" s="5" t="s">
        <v>38</v>
      </c>
      <c r="I17" s="6">
        <f t="shared" si="0"/>
        <v>2754945</v>
      </c>
      <c r="J17" s="6">
        <f t="shared" si="1"/>
        <v>-380037</v>
      </c>
      <c r="K17" s="6">
        <f t="shared" si="2"/>
        <v>1083711</v>
      </c>
    </row>
    <row r="18" spans="1:11" ht="105.75" customHeight="1" x14ac:dyDescent="0.25">
      <c r="A18" s="7" t="s">
        <v>39</v>
      </c>
      <c r="B18" s="8">
        <f t="shared" ref="B18:G18" si="3">SUM(B5:B17)</f>
        <v>512316707</v>
      </c>
      <c r="C18" s="8">
        <f t="shared" si="3"/>
        <v>518285528</v>
      </c>
      <c r="D18" s="8">
        <f t="shared" si="3"/>
        <v>541138107</v>
      </c>
      <c r="E18" s="8">
        <f t="shared" si="3"/>
        <v>506111414</v>
      </c>
      <c r="F18" s="8">
        <f t="shared" si="3"/>
        <v>521488995</v>
      </c>
      <c r="G18" s="8">
        <f t="shared" si="3"/>
        <v>516787080</v>
      </c>
    </row>
  </sheetData>
  <mergeCells count="2">
    <mergeCell ref="A1:H1"/>
    <mergeCell ref="A2:H2"/>
  </mergeCells>
  <conditionalFormatting sqref="I5:K17">
    <cfRule type="cellIs" dxfId="1" priority="1" operator="greaterThan">
      <formula>0</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zoomScaleNormal="100" workbookViewId="0">
      <pane xSplit="1" ySplit="4" topLeftCell="B5" activePane="bottomRight" state="frozen"/>
      <selection pane="topRight" activeCell="B1" sqref="B1"/>
      <selection pane="bottomLeft" activeCell="A5" sqref="A5"/>
      <selection pane="bottomRight" sqref="A1:H1"/>
    </sheetView>
  </sheetViews>
  <sheetFormatPr defaultColWidth="8.7109375" defaultRowHeight="15" x14ac:dyDescent="0.25"/>
  <cols>
    <col min="1" max="1" width="14.5703125" customWidth="1"/>
    <col min="2" max="4" width="15" customWidth="1"/>
    <col min="5" max="7" width="16" customWidth="1"/>
    <col min="8" max="8" width="48" customWidth="1"/>
  </cols>
  <sheetData>
    <row r="1" spans="1:8" ht="18" customHeight="1" x14ac:dyDescent="0.25">
      <c r="A1" s="13" t="s">
        <v>0</v>
      </c>
      <c r="B1" s="13"/>
      <c r="C1" s="13"/>
      <c r="D1" s="13"/>
      <c r="E1" s="13"/>
      <c r="F1" s="13"/>
      <c r="G1" s="13"/>
      <c r="H1" s="13"/>
    </row>
    <row r="2" spans="1:8" ht="15" customHeight="1" x14ac:dyDescent="0.25">
      <c r="A2" s="14" t="s">
        <v>1</v>
      </c>
      <c r="B2" s="14"/>
      <c r="C2" s="14"/>
      <c r="D2" s="14"/>
      <c r="E2" s="14"/>
      <c r="F2" s="14"/>
      <c r="G2" s="14"/>
      <c r="H2" s="14"/>
    </row>
    <row r="4" spans="1:8" ht="45" customHeight="1" x14ac:dyDescent="0.25">
      <c r="A4" s="1" t="s">
        <v>2</v>
      </c>
      <c r="B4" s="1" t="s">
        <v>3</v>
      </c>
      <c r="C4" s="1" t="s">
        <v>4</v>
      </c>
      <c r="D4" s="1" t="s">
        <v>5</v>
      </c>
      <c r="E4" s="1" t="s">
        <v>6</v>
      </c>
      <c r="F4" s="1" t="s">
        <v>7</v>
      </c>
      <c r="G4" s="1" t="s">
        <v>8</v>
      </c>
      <c r="H4" s="1" t="s">
        <v>9</v>
      </c>
    </row>
    <row r="5" spans="1:8" ht="15" customHeight="1" x14ac:dyDescent="0.25">
      <c r="A5" s="3" t="s">
        <v>13</v>
      </c>
      <c r="B5" s="4">
        <v>27674700</v>
      </c>
      <c r="C5" s="4">
        <v>28005355</v>
      </c>
      <c r="D5" s="4">
        <v>28248936</v>
      </c>
      <c r="E5" s="4">
        <v>27834684</v>
      </c>
      <c r="F5" s="4">
        <v>28239947</v>
      </c>
      <c r="G5" s="4">
        <v>28508819</v>
      </c>
      <c r="H5" s="5" t="s">
        <v>14</v>
      </c>
    </row>
    <row r="6" spans="1:8" ht="15" customHeight="1" x14ac:dyDescent="0.25">
      <c r="A6" s="3" t="s">
        <v>15</v>
      </c>
      <c r="B6" s="4">
        <v>28440601</v>
      </c>
      <c r="C6" s="4">
        <v>28691131</v>
      </c>
      <c r="D6" s="4">
        <v>29106675</v>
      </c>
      <c r="E6" s="4">
        <v>28658297</v>
      </c>
      <c r="F6" s="4">
        <v>28908606</v>
      </c>
      <c r="G6" s="4">
        <v>29144613</v>
      </c>
      <c r="H6" s="5" t="s">
        <v>16</v>
      </c>
    </row>
    <row r="7" spans="1:8" ht="15" customHeight="1" x14ac:dyDescent="0.25">
      <c r="A7" s="3" t="s">
        <v>17</v>
      </c>
      <c r="B7" s="4">
        <v>30289952</v>
      </c>
      <c r="C7" s="4">
        <v>30399952</v>
      </c>
      <c r="D7" s="4">
        <v>31471869</v>
      </c>
      <c r="E7" s="4">
        <v>30491514</v>
      </c>
      <c r="F7" s="4">
        <v>30771962</v>
      </c>
      <c r="G7" s="4">
        <v>31313290</v>
      </c>
      <c r="H7" s="5" t="s">
        <v>18</v>
      </c>
    </row>
    <row r="8" spans="1:8" ht="15" customHeight="1" x14ac:dyDescent="0.25">
      <c r="A8" s="3" t="s">
        <v>19</v>
      </c>
      <c r="B8" s="4">
        <v>33852990</v>
      </c>
      <c r="C8" s="4">
        <v>33852990</v>
      </c>
      <c r="D8" s="4">
        <v>34476441</v>
      </c>
      <c r="E8" s="4">
        <v>33079113</v>
      </c>
      <c r="F8" s="4">
        <v>32444958</v>
      </c>
      <c r="G8" s="4">
        <v>33871151</v>
      </c>
      <c r="H8" s="5" t="s">
        <v>20</v>
      </c>
    </row>
    <row r="9" spans="1:8" ht="15" customHeight="1" x14ac:dyDescent="0.25">
      <c r="A9" s="3" t="s">
        <v>21</v>
      </c>
      <c r="B9" s="4">
        <v>35428627</v>
      </c>
      <c r="C9" s="4">
        <v>36828627</v>
      </c>
      <c r="D9" s="4">
        <v>35783921</v>
      </c>
      <c r="E9" s="4">
        <v>34940743</v>
      </c>
      <c r="F9" s="4">
        <v>36039619</v>
      </c>
      <c r="G9" s="4">
        <v>36252189</v>
      </c>
      <c r="H9" s="5" t="s">
        <v>22</v>
      </c>
    </row>
    <row r="10" spans="1:8" ht="15" customHeight="1" x14ac:dyDescent="0.25">
      <c r="A10" s="3" t="s">
        <v>23</v>
      </c>
      <c r="B10" s="4">
        <v>37710700</v>
      </c>
      <c r="C10" s="4">
        <v>38460700</v>
      </c>
      <c r="D10" s="4">
        <v>39353732</v>
      </c>
      <c r="E10" s="4">
        <v>37096803</v>
      </c>
      <c r="F10" s="4">
        <v>37302638</v>
      </c>
      <c r="G10" s="4">
        <v>40202753</v>
      </c>
      <c r="H10" s="5" t="s">
        <v>24</v>
      </c>
    </row>
    <row r="11" spans="1:8" ht="15" customHeight="1" x14ac:dyDescent="0.25">
      <c r="A11" s="3" t="s">
        <v>25</v>
      </c>
      <c r="B11" s="4">
        <v>40800240</v>
      </c>
      <c r="C11" s="4">
        <v>41100240</v>
      </c>
      <c r="D11" s="4">
        <v>39980730</v>
      </c>
      <c r="E11" s="4">
        <v>40209466</v>
      </c>
      <c r="F11" s="4">
        <v>40369084</v>
      </c>
      <c r="G11" s="4">
        <v>39686283</v>
      </c>
      <c r="H11" s="5" t="s">
        <v>26</v>
      </c>
    </row>
    <row r="12" spans="1:8" ht="15" customHeight="1" x14ac:dyDescent="0.25">
      <c r="A12" s="3" t="s">
        <v>27</v>
      </c>
      <c r="B12" s="4">
        <v>39308198</v>
      </c>
      <c r="C12" s="4">
        <v>37968478</v>
      </c>
      <c r="D12" s="4">
        <v>43187475</v>
      </c>
      <c r="E12" s="4">
        <v>38049225</v>
      </c>
      <c r="F12" s="4">
        <v>37986670</v>
      </c>
      <c r="G12" s="4">
        <v>37210630</v>
      </c>
      <c r="H12" s="5" t="s">
        <v>28</v>
      </c>
    </row>
    <row r="13" spans="1:8" ht="24" customHeight="1" x14ac:dyDescent="0.25">
      <c r="A13" s="3" t="s">
        <v>29</v>
      </c>
      <c r="B13" s="4">
        <v>39449597</v>
      </c>
      <c r="C13" s="4">
        <v>41928597</v>
      </c>
      <c r="D13" s="4">
        <v>47024739</v>
      </c>
      <c r="E13" s="4">
        <v>39259267</v>
      </c>
      <c r="F13" s="4">
        <v>41661346</v>
      </c>
      <c r="G13" s="4">
        <v>40217837</v>
      </c>
      <c r="H13" s="5" t="s">
        <v>30</v>
      </c>
    </row>
    <row r="14" spans="1:8" ht="24" customHeight="1" x14ac:dyDescent="0.25">
      <c r="A14" s="3" t="s">
        <v>31</v>
      </c>
      <c r="B14" s="4">
        <v>45673445</v>
      </c>
      <c r="C14" s="4">
        <v>46897066</v>
      </c>
      <c r="D14" s="4">
        <v>50814603</v>
      </c>
      <c r="E14" s="4">
        <v>44281299</v>
      </c>
      <c r="F14" s="4">
        <v>46928173</v>
      </c>
      <c r="G14" s="4">
        <v>43456807</v>
      </c>
      <c r="H14" s="5" t="s">
        <v>32</v>
      </c>
    </row>
    <row r="15" spans="1:8" ht="24" customHeight="1" x14ac:dyDescent="0.25">
      <c r="A15" s="3" t="s">
        <v>33</v>
      </c>
      <c r="B15" s="4">
        <v>48525092</v>
      </c>
      <c r="C15" s="4">
        <v>48679292</v>
      </c>
      <c r="D15" s="4">
        <v>52119903</v>
      </c>
      <c r="E15" s="4">
        <v>47852822</v>
      </c>
      <c r="F15" s="4">
        <v>51369923</v>
      </c>
      <c r="G15" s="4">
        <v>48670741</v>
      </c>
      <c r="H15" s="5" t="s">
        <v>34</v>
      </c>
    </row>
    <row r="16" spans="1:8" ht="24" customHeight="1" x14ac:dyDescent="0.25">
      <c r="A16" s="3" t="s">
        <v>35</v>
      </c>
      <c r="B16" s="4">
        <v>51382773</v>
      </c>
      <c r="C16" s="4">
        <v>51693308</v>
      </c>
      <c r="D16" s="4">
        <v>54133832</v>
      </c>
      <c r="E16" s="4">
        <v>50594164</v>
      </c>
      <c r="F16" s="4">
        <v>52567070</v>
      </c>
      <c r="G16" s="4">
        <v>51733005</v>
      </c>
      <c r="H16" s="5" t="s">
        <v>36</v>
      </c>
    </row>
    <row r="17" spans="1:8" ht="15" customHeight="1" x14ac:dyDescent="0.25">
      <c r="A17" s="3" t="s">
        <v>37</v>
      </c>
      <c r="B17" s="4">
        <v>53779792</v>
      </c>
      <c r="C17" s="4">
        <v>53779792</v>
      </c>
      <c r="D17" s="4">
        <v>55435251</v>
      </c>
      <c r="E17" s="4">
        <v>53764017</v>
      </c>
      <c r="F17" s="4">
        <v>56898999</v>
      </c>
      <c r="G17" s="4">
        <v>56518962</v>
      </c>
      <c r="H17" s="5" t="s">
        <v>38</v>
      </c>
    </row>
    <row r="18" spans="1:8" ht="105.75" customHeight="1" x14ac:dyDescent="0.25">
      <c r="A18" s="7" t="s">
        <v>39</v>
      </c>
      <c r="B18" s="8">
        <f t="shared" ref="B18:G18" si="0">SUM(B5:B17)</f>
        <v>512316707</v>
      </c>
      <c r="C18" s="8">
        <f t="shared" si="0"/>
        <v>518285528</v>
      </c>
      <c r="D18" s="8">
        <f t="shared" si="0"/>
        <v>541138107</v>
      </c>
      <c r="E18" s="8">
        <f t="shared" si="0"/>
        <v>506111414</v>
      </c>
      <c r="F18" s="8">
        <f t="shared" si="0"/>
        <v>521488995</v>
      </c>
      <c r="G18" s="8">
        <f t="shared" si="0"/>
        <v>516787080</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8"/>
  <sheetViews>
    <sheetView zoomScaleNormal="100" workbookViewId="0">
      <pane xSplit="1" ySplit="4" topLeftCell="B7" activePane="bottomRight" state="frozen"/>
      <selection pane="topRight" activeCell="B1" sqref="B1"/>
      <selection pane="bottomLeft" activeCell="A5" sqref="A5"/>
      <selection pane="bottomRight" sqref="A1:H1"/>
    </sheetView>
  </sheetViews>
  <sheetFormatPr defaultColWidth="8.7109375" defaultRowHeight="15" x14ac:dyDescent="0.25"/>
  <cols>
    <col min="1" max="1" width="13" customWidth="1"/>
    <col min="2" max="2" width="10" customWidth="1"/>
    <col min="3" max="3" width="16" customWidth="1"/>
    <col min="4" max="4" width="14" customWidth="1"/>
    <col min="5" max="7" width="46" customWidth="1"/>
  </cols>
  <sheetData>
    <row r="1" spans="1:8" ht="18" customHeight="1" x14ac:dyDescent="0.25">
      <c r="A1" s="13" t="s">
        <v>40</v>
      </c>
      <c r="B1" s="13"/>
      <c r="C1" s="13"/>
      <c r="D1" s="13"/>
      <c r="E1" s="13"/>
      <c r="F1" s="13"/>
      <c r="G1" s="13"/>
      <c r="H1" s="13"/>
    </row>
    <row r="2" spans="1:8" ht="15" customHeight="1" x14ac:dyDescent="0.25">
      <c r="A2" s="14" t="s">
        <v>41</v>
      </c>
      <c r="B2" s="14"/>
      <c r="C2" s="14"/>
      <c r="D2" s="14"/>
      <c r="E2" s="14"/>
      <c r="F2" s="14"/>
      <c r="G2" s="14"/>
      <c r="H2" s="14"/>
    </row>
    <row r="4" spans="1:8" ht="30" customHeight="1" x14ac:dyDescent="0.25">
      <c r="A4" s="1" t="s">
        <v>2</v>
      </c>
      <c r="B4" s="1" t="s">
        <v>42</v>
      </c>
      <c r="C4" s="1" t="s">
        <v>43</v>
      </c>
      <c r="D4" s="1" t="s">
        <v>44</v>
      </c>
      <c r="E4" s="1" t="s">
        <v>45</v>
      </c>
      <c r="F4" s="1" t="s">
        <v>9</v>
      </c>
      <c r="G4" s="1" t="s">
        <v>9</v>
      </c>
    </row>
    <row r="5" spans="1:8" ht="15" customHeight="1" x14ac:dyDescent="0.25">
      <c r="A5" s="3" t="s">
        <v>25</v>
      </c>
      <c r="B5" s="9" t="s">
        <v>46</v>
      </c>
      <c r="C5" s="4" t="s">
        <v>47</v>
      </c>
      <c r="D5" s="4">
        <v>12745173</v>
      </c>
      <c r="E5" s="10" t="s">
        <v>48</v>
      </c>
      <c r="F5" s="5" t="s">
        <v>49</v>
      </c>
      <c r="G5" s="11"/>
    </row>
    <row r="6" spans="1:8" ht="15" customHeight="1" x14ac:dyDescent="0.25">
      <c r="A6" s="3" t="s">
        <v>25</v>
      </c>
      <c r="B6" s="9" t="s">
        <v>46</v>
      </c>
      <c r="C6" s="4" t="s">
        <v>50</v>
      </c>
      <c r="D6" s="4">
        <v>12514000</v>
      </c>
      <c r="E6" s="10" t="s">
        <v>48</v>
      </c>
      <c r="F6" s="5" t="s">
        <v>49</v>
      </c>
      <c r="G6" s="11"/>
    </row>
    <row r="7" spans="1:8" ht="15" customHeight="1" x14ac:dyDescent="0.25">
      <c r="A7" s="3" t="s">
        <v>25</v>
      </c>
      <c r="B7" s="9" t="s">
        <v>46</v>
      </c>
      <c r="C7" s="4" t="s">
        <v>51</v>
      </c>
      <c r="D7" s="4">
        <v>12199388</v>
      </c>
      <c r="E7" s="10" t="s">
        <v>48</v>
      </c>
      <c r="F7" s="5" t="s">
        <v>49</v>
      </c>
      <c r="G7" s="11"/>
    </row>
    <row r="8" spans="1:8" ht="15" customHeight="1" x14ac:dyDescent="0.25">
      <c r="A8" s="3" t="s">
        <v>25</v>
      </c>
      <c r="B8" s="9" t="s">
        <v>52</v>
      </c>
      <c r="C8" s="4" t="s">
        <v>47</v>
      </c>
      <c r="D8" s="4">
        <v>10762911</v>
      </c>
      <c r="E8" s="10" t="s">
        <v>48</v>
      </c>
      <c r="F8" s="5" t="s">
        <v>49</v>
      </c>
      <c r="G8" s="11"/>
    </row>
    <row r="9" spans="1:8" ht="15" customHeight="1" x14ac:dyDescent="0.25">
      <c r="A9" s="3" t="s">
        <v>25</v>
      </c>
      <c r="B9" s="9" t="s">
        <v>52</v>
      </c>
      <c r="C9" s="4" t="s">
        <v>50</v>
      </c>
      <c r="D9" s="4">
        <v>11177828</v>
      </c>
      <c r="E9" s="10" t="s">
        <v>48</v>
      </c>
      <c r="F9" s="5" t="s">
        <v>49</v>
      </c>
      <c r="G9" s="11"/>
    </row>
    <row r="10" spans="1:8" ht="15" customHeight="1" x14ac:dyDescent="0.25">
      <c r="A10" s="3" t="s">
        <v>25</v>
      </c>
      <c r="B10" s="9" t="s">
        <v>52</v>
      </c>
      <c r="C10" s="4" t="s">
        <v>51</v>
      </c>
      <c r="D10" s="4">
        <v>11182414</v>
      </c>
      <c r="E10" s="10" t="s">
        <v>48</v>
      </c>
      <c r="F10" s="5" t="s">
        <v>49</v>
      </c>
      <c r="G10" s="11"/>
    </row>
    <row r="11" spans="1:8" ht="15" customHeight="1" x14ac:dyDescent="0.25">
      <c r="A11" s="3" t="s">
        <v>27</v>
      </c>
      <c r="B11" s="9" t="s">
        <v>46</v>
      </c>
      <c r="C11" s="9" t="s">
        <v>47</v>
      </c>
      <c r="D11" s="4">
        <v>12233733</v>
      </c>
      <c r="E11" s="5" t="s">
        <v>48</v>
      </c>
      <c r="F11" s="5" t="s">
        <v>53</v>
      </c>
    </row>
    <row r="12" spans="1:8" ht="15" customHeight="1" x14ac:dyDescent="0.25">
      <c r="A12" s="3" t="s">
        <v>27</v>
      </c>
      <c r="B12" s="9" t="s">
        <v>46</v>
      </c>
      <c r="C12" s="9" t="s">
        <v>50</v>
      </c>
      <c r="D12" s="4">
        <v>12158733</v>
      </c>
      <c r="E12" s="5" t="s">
        <v>48</v>
      </c>
      <c r="F12" s="5" t="s">
        <v>53</v>
      </c>
    </row>
    <row r="13" spans="1:8" ht="15" customHeight="1" x14ac:dyDescent="0.25">
      <c r="A13" s="3" t="s">
        <v>27</v>
      </c>
      <c r="B13" s="9" t="s">
        <v>46</v>
      </c>
      <c r="C13" s="9" t="s">
        <v>51</v>
      </c>
      <c r="D13" s="4">
        <v>11629196</v>
      </c>
      <c r="E13" s="5" t="s">
        <v>48</v>
      </c>
      <c r="F13" s="5" t="s">
        <v>53</v>
      </c>
    </row>
    <row r="14" spans="1:8" ht="15" customHeight="1" x14ac:dyDescent="0.25">
      <c r="A14" s="3" t="s">
        <v>27</v>
      </c>
      <c r="B14" s="9" t="s">
        <v>52</v>
      </c>
      <c r="C14" s="9" t="s">
        <v>47</v>
      </c>
      <c r="D14" s="4">
        <v>11645813</v>
      </c>
      <c r="E14" s="5" t="s">
        <v>48</v>
      </c>
      <c r="F14" s="5" t="s">
        <v>53</v>
      </c>
    </row>
    <row r="15" spans="1:8" ht="15" customHeight="1" x14ac:dyDescent="0.25">
      <c r="A15" s="3" t="s">
        <v>27</v>
      </c>
      <c r="B15" s="9" t="s">
        <v>52</v>
      </c>
      <c r="C15" s="9" t="s">
        <v>50</v>
      </c>
      <c r="D15" s="4">
        <v>12345813</v>
      </c>
      <c r="E15" s="5" t="s">
        <v>48</v>
      </c>
      <c r="F15" s="5" t="s">
        <v>53</v>
      </c>
    </row>
    <row r="16" spans="1:8" ht="15" customHeight="1" x14ac:dyDescent="0.25">
      <c r="A16" s="3" t="s">
        <v>27</v>
      </c>
      <c r="B16" s="9" t="s">
        <v>52</v>
      </c>
      <c r="C16" s="9" t="s">
        <v>51</v>
      </c>
      <c r="D16" s="4">
        <v>12168376</v>
      </c>
      <c r="E16" s="5" t="s">
        <v>48</v>
      </c>
      <c r="F16" s="5" t="s">
        <v>53</v>
      </c>
    </row>
    <row r="17" spans="1:6" ht="24" customHeight="1" x14ac:dyDescent="0.25">
      <c r="A17" s="3" t="s">
        <v>35</v>
      </c>
      <c r="B17" s="9" t="s">
        <v>46</v>
      </c>
      <c r="C17" s="9" t="s">
        <v>51</v>
      </c>
      <c r="D17" s="4">
        <v>14902515</v>
      </c>
      <c r="E17" s="5" t="s">
        <v>54</v>
      </c>
      <c r="F17" s="5" t="s">
        <v>55</v>
      </c>
    </row>
    <row r="18" spans="1:6" ht="24" customHeight="1" x14ac:dyDescent="0.25">
      <c r="A18" s="3" t="s">
        <v>35</v>
      </c>
      <c r="B18" s="9" t="s">
        <v>52</v>
      </c>
      <c r="C18" s="9" t="s">
        <v>51</v>
      </c>
      <c r="D18" s="4">
        <v>16400399</v>
      </c>
      <c r="E18" s="5" t="s">
        <v>54</v>
      </c>
      <c r="F18" s="5" t="s">
        <v>55</v>
      </c>
    </row>
    <row r="19" spans="1:6" ht="24" customHeight="1" x14ac:dyDescent="0.25">
      <c r="A19" s="3" t="s">
        <v>56</v>
      </c>
      <c r="B19" s="9" t="s">
        <v>46</v>
      </c>
      <c r="C19" s="9" t="s">
        <v>57</v>
      </c>
      <c r="D19" s="4">
        <v>15323961</v>
      </c>
      <c r="E19" s="5" t="s">
        <v>58</v>
      </c>
      <c r="F19" s="5" t="s">
        <v>55</v>
      </c>
    </row>
    <row r="20" spans="1:6" ht="24" customHeight="1" x14ac:dyDescent="0.25">
      <c r="A20" s="3" t="s">
        <v>56</v>
      </c>
      <c r="B20" s="9" t="s">
        <v>52</v>
      </c>
      <c r="C20" s="9" t="s">
        <v>57</v>
      </c>
      <c r="D20" s="4">
        <v>16144408</v>
      </c>
      <c r="E20" s="5" t="s">
        <v>58</v>
      </c>
      <c r="F20" s="5" t="s">
        <v>55</v>
      </c>
    </row>
    <row r="21" spans="1:6" ht="24" customHeight="1" x14ac:dyDescent="0.25">
      <c r="A21" s="3" t="s">
        <v>59</v>
      </c>
      <c r="B21" s="9" t="s">
        <v>46</v>
      </c>
      <c r="C21" s="9" t="s">
        <v>60</v>
      </c>
      <c r="D21" s="4">
        <v>16633894</v>
      </c>
      <c r="E21" s="5" t="s">
        <v>61</v>
      </c>
      <c r="F21" s="5" t="s">
        <v>55</v>
      </c>
    </row>
    <row r="22" spans="1:6" ht="24" customHeight="1" x14ac:dyDescent="0.25">
      <c r="A22" s="3" t="s">
        <v>59</v>
      </c>
      <c r="B22" s="9" t="s">
        <v>52</v>
      </c>
      <c r="C22" s="9" t="s">
        <v>60</v>
      </c>
      <c r="D22" s="4">
        <v>17339840</v>
      </c>
      <c r="E22" s="5" t="s">
        <v>61</v>
      </c>
      <c r="F22" s="5" t="s">
        <v>55</v>
      </c>
    </row>
    <row r="23" spans="1:6" ht="24" customHeight="1" x14ac:dyDescent="0.25">
      <c r="A23" s="3" t="s">
        <v>62</v>
      </c>
      <c r="B23" s="9" t="s">
        <v>46</v>
      </c>
      <c r="C23" s="9" t="s">
        <v>60</v>
      </c>
      <c r="D23" s="4">
        <v>17517534</v>
      </c>
      <c r="E23" s="5" t="s">
        <v>61</v>
      </c>
      <c r="F23" s="5" t="s">
        <v>55</v>
      </c>
    </row>
    <row r="24" spans="1:6" ht="24" customHeight="1" x14ac:dyDescent="0.25">
      <c r="A24" s="3" t="s">
        <v>62</v>
      </c>
      <c r="B24" s="9" t="s">
        <v>52</v>
      </c>
      <c r="C24" s="9" t="s">
        <v>60</v>
      </c>
      <c r="D24" s="4">
        <v>17911556</v>
      </c>
      <c r="E24" s="5" t="s">
        <v>61</v>
      </c>
      <c r="F24" s="5" t="s">
        <v>55</v>
      </c>
    </row>
    <row r="25" spans="1:6" ht="21.75" customHeight="1" x14ac:dyDescent="0.25">
      <c r="A25" s="3" t="s">
        <v>56</v>
      </c>
      <c r="B25" s="9" t="s">
        <v>46</v>
      </c>
      <c r="C25" s="9" t="s">
        <v>63</v>
      </c>
      <c r="D25" s="4">
        <v>15465725</v>
      </c>
      <c r="E25" s="5" t="s">
        <v>64</v>
      </c>
      <c r="F25" s="5" t="s">
        <v>65</v>
      </c>
    </row>
    <row r="26" spans="1:6" ht="21.75" customHeight="1" x14ac:dyDescent="0.25">
      <c r="A26" s="3" t="s">
        <v>56</v>
      </c>
      <c r="B26" s="9" t="s">
        <v>52</v>
      </c>
      <c r="C26" s="9" t="s">
        <v>63</v>
      </c>
      <c r="D26" s="4">
        <v>15825790</v>
      </c>
      <c r="E26" s="5" t="s">
        <v>64</v>
      </c>
      <c r="F26" s="5" t="s">
        <v>65</v>
      </c>
    </row>
    <row r="27" spans="1:6" ht="21.75" customHeight="1" x14ac:dyDescent="0.25">
      <c r="A27" s="3" t="s">
        <v>56</v>
      </c>
      <c r="B27" s="9" t="s">
        <v>46</v>
      </c>
      <c r="C27" s="9" t="s">
        <v>66</v>
      </c>
      <c r="D27" s="4">
        <v>15541520</v>
      </c>
      <c r="E27" s="5" t="s">
        <v>67</v>
      </c>
      <c r="F27" s="5" t="s">
        <v>68</v>
      </c>
    </row>
    <row r="28" spans="1:6" ht="21.75" customHeight="1" x14ac:dyDescent="0.25">
      <c r="A28" s="3" t="s">
        <v>56</v>
      </c>
      <c r="B28" s="9" t="s">
        <v>52</v>
      </c>
      <c r="C28" s="9" t="s">
        <v>66</v>
      </c>
      <c r="D28" s="4">
        <v>16624099</v>
      </c>
      <c r="E28" s="5" t="s">
        <v>67</v>
      </c>
      <c r="F28" s="5" t="s">
        <v>68</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3"/>
  <sheetViews>
    <sheetView topLeftCell="A3" zoomScaleNormal="100" workbookViewId="0">
      <selection sqref="A1:B1"/>
    </sheetView>
  </sheetViews>
  <sheetFormatPr defaultColWidth="8.7109375" defaultRowHeight="15" x14ac:dyDescent="0.25"/>
  <cols>
    <col min="1" max="1" width="34" customWidth="1"/>
    <col min="2" max="2" width="100" customWidth="1"/>
  </cols>
  <sheetData>
    <row r="1" spans="1:2" ht="18" customHeight="1" x14ac:dyDescent="0.25">
      <c r="A1" s="13" t="s">
        <v>69</v>
      </c>
      <c r="B1" s="13"/>
    </row>
    <row r="3" spans="1:2" ht="90" customHeight="1" x14ac:dyDescent="0.25">
      <c r="A3" s="12" t="s">
        <v>70</v>
      </c>
      <c r="B3" s="11" t="s">
        <v>71</v>
      </c>
    </row>
    <row r="5" spans="1:2" ht="45" customHeight="1" x14ac:dyDescent="0.25">
      <c r="A5" s="12" t="s">
        <v>72</v>
      </c>
      <c r="B5" s="11" t="s">
        <v>73</v>
      </c>
    </row>
    <row r="7" spans="1:2" ht="45" customHeight="1" x14ac:dyDescent="0.25">
      <c r="A7" s="12" t="s">
        <v>74</v>
      </c>
      <c r="B7" s="11" t="s">
        <v>75</v>
      </c>
    </row>
    <row r="9" spans="1:2" ht="105" customHeight="1" x14ac:dyDescent="0.25">
      <c r="A9" s="12" t="s">
        <v>76</v>
      </c>
      <c r="B9" s="11" t="s">
        <v>77</v>
      </c>
    </row>
    <row r="11" spans="1:2" ht="135" customHeight="1" x14ac:dyDescent="0.25">
      <c r="A11" s="12" t="s">
        <v>78</v>
      </c>
      <c r="B11" s="11" t="s">
        <v>79</v>
      </c>
    </row>
    <row r="13" spans="1:2" ht="60" customHeight="1" x14ac:dyDescent="0.25">
      <c r="A13" s="12" t="s">
        <v>80</v>
      </c>
      <c r="B13" s="11" t="s">
        <v>81</v>
      </c>
    </row>
    <row r="15" spans="1:2" ht="75" customHeight="1" x14ac:dyDescent="0.25">
      <c r="A15" s="12" t="s">
        <v>82</v>
      </c>
      <c r="B15" s="11" t="s">
        <v>83</v>
      </c>
    </row>
    <row r="17" spans="1:2" ht="75" customHeight="1" x14ac:dyDescent="0.25">
      <c r="A17" s="12" t="s">
        <v>84</v>
      </c>
      <c r="B17" s="11" t="s">
        <v>85</v>
      </c>
    </row>
    <row r="19" spans="1:2" ht="51.75" customHeight="1" x14ac:dyDescent="0.25">
      <c r="A19" s="12" t="s">
        <v>86</v>
      </c>
      <c r="B19" s="11" t="s">
        <v>87</v>
      </c>
    </row>
    <row r="21" spans="1:2" ht="51.75" customHeight="1" x14ac:dyDescent="0.25">
      <c r="A21" s="12" t="s">
        <v>88</v>
      </c>
      <c r="B21" s="11" t="s">
        <v>89</v>
      </c>
    </row>
    <row r="23" spans="1:2" ht="64.5" customHeight="1" x14ac:dyDescent="0.25">
      <c r="A23" s="12" t="s">
        <v>90</v>
      </c>
      <c r="B23" s="11" t="s">
        <v>91</v>
      </c>
    </row>
  </sheetData>
  <mergeCells count="1">
    <mergeCell ref="A1: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Changes  (2)</vt:lpstr>
      <vt:lpstr>Changes </vt:lpstr>
      <vt:lpstr>GF Summary FY14-26</vt:lpstr>
      <vt:lpstr>Police &amp; Fire Detail</vt:lpstr>
      <vt:lpstr>Notes &amp; Caveats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Ira Sharenow</cp:lastModifiedBy>
  <cp:revision>0</cp:revision>
  <dcterms:created xsi:type="dcterms:W3CDTF">2026-09-10T00:46:17Z</dcterms:created>
  <dcterms:modified xsi:type="dcterms:W3CDTF">2026-09-11T16:16:06Z</dcterms:modified>
  <dc:language>en-US</dc:language>
</cp:coreProperties>
</file>