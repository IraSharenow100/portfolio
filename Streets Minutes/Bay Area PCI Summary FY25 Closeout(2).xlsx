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oodwin\Box\Files from Old Device\My Documents (New)\"/>
    </mc:Choice>
  </mc:AlternateContent>
  <xr:revisionPtr revIDLastSave="0" documentId="8_{2FCA13ED-EA08-4ECF-A75E-794AAC951A18}" xr6:coauthVersionLast="47" xr6:coauthVersionMax="47" xr10:uidLastSave="{00000000-0000-0000-0000-000000000000}"/>
  <bookViews>
    <workbookView xWindow="19200" yWindow="0" windowWidth="19200" windowHeight="15480" tabRatio="729" firstSheet="3" activeTab="3" xr2:uid="{E7CFA406-9135-4D82-A8C4-366ED0E61943}"/>
  </bookViews>
  <sheets>
    <sheet name="DevMecca SS PCI Export" sheetId="1" state="hidden" r:id="rId1"/>
    <sheet name="SS PCI PivotTable" sheetId="3" state="hidden" r:id="rId2"/>
    <sheet name="MTC Regional PCIs 2022-2025" sheetId="2" state="hidden" r:id="rId3"/>
    <sheet name="MTC Regional PCIs 2022-2024" sheetId="4" r:id="rId4"/>
    <sheet name="MTC Regional PCI AggregateStats" sheetId="5" r:id="rId5"/>
  </sheets>
  <definedNames>
    <definedName name="_xlnm._FilterDatabase" localSheetId="4" hidden="1">'MTC Regional PCI AggregateStats'!$A$1:$C$1</definedName>
    <definedName name="_xlnm._FilterDatabase" localSheetId="3" hidden="1">'MTC Regional PCIs 2022-2024'!$A$1:$M$110</definedName>
    <definedName name="_xlnm._FilterDatabase" localSheetId="2" hidden="1">'MTC Regional PCIs 2022-2025'!$A$1:$J$110</definedName>
  </definedNames>
  <calcPr calcId="191029"/>
  <pivotCaches>
    <pivotCache cacheId="0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1" i="4" l="1"/>
  <c r="C1048576" i="4" s="1"/>
  <c r="B16" i="5"/>
  <c r="B15" i="5"/>
  <c r="B14" i="5"/>
  <c r="B13" i="5"/>
  <c r="B3" i="5"/>
  <c r="B4" i="5"/>
  <c r="B5" i="5"/>
  <c r="B6" i="5"/>
  <c r="B7" i="5"/>
  <c r="B8" i="5"/>
  <c r="B9" i="5"/>
  <c r="B10" i="5"/>
  <c r="B2" i="5"/>
  <c r="I53" i="4"/>
  <c r="I110" i="4"/>
  <c r="I65" i="4"/>
  <c r="I102" i="4"/>
  <c r="K102" i="4"/>
  <c r="I94" i="4"/>
  <c r="J94" i="4"/>
  <c r="I34" i="4"/>
  <c r="I96" i="4"/>
  <c r="I86" i="4"/>
  <c r="I20" i="4"/>
  <c r="J20" i="4"/>
  <c r="J48" i="4"/>
  <c r="I82" i="4"/>
  <c r="I108" i="4"/>
  <c r="I3" i="4"/>
  <c r="I56" i="4"/>
  <c r="K56" i="4"/>
  <c r="I92" i="4"/>
  <c r="I107" i="4"/>
  <c r="K36" i="4"/>
  <c r="I44" i="4"/>
  <c r="I24" i="4"/>
  <c r="J24" i="4"/>
  <c r="I8" i="4"/>
  <c r="K6" i="4"/>
  <c r="I81" i="4"/>
  <c r="I39" i="4"/>
  <c r="I74" i="4"/>
  <c r="J74" i="4"/>
  <c r="I61" i="4"/>
  <c r="J61" i="4"/>
  <c r="I10" i="4"/>
  <c r="J10" i="4"/>
  <c r="I5" i="4"/>
  <c r="K98" i="4"/>
  <c r="I12" i="4"/>
  <c r="I67" i="4"/>
  <c r="K14" i="4"/>
  <c r="I97" i="4"/>
  <c r="I26" i="4"/>
  <c r="J26" i="4"/>
  <c r="I37" i="4"/>
  <c r="G2" i="2"/>
  <c r="H2" i="2"/>
  <c r="J2" i="2"/>
  <c r="I2" i="2"/>
  <c r="H101" i="2"/>
  <c r="G101" i="2"/>
  <c r="B17" i="5" l="1"/>
  <c r="C16" i="5" s="1"/>
  <c r="E2" i="5"/>
  <c r="C15" i="5"/>
  <c r="I14" i="4"/>
  <c r="J50" i="4"/>
  <c r="I16" i="4"/>
  <c r="I36" i="4"/>
  <c r="J4" i="4"/>
  <c r="K33" i="4"/>
  <c r="I21" i="4"/>
  <c r="I50" i="4"/>
  <c r="I32" i="4"/>
  <c r="K68" i="4"/>
  <c r="I38" i="4"/>
  <c r="I35" i="4"/>
  <c r="I43" i="4"/>
  <c r="I90" i="4"/>
  <c r="K72" i="4"/>
  <c r="I100" i="4"/>
  <c r="K64" i="4"/>
  <c r="J77" i="4"/>
  <c r="I48" i="4"/>
  <c r="K80" i="4"/>
  <c r="I63" i="4"/>
  <c r="I93" i="4"/>
  <c r="K5" i="4"/>
  <c r="I73" i="4"/>
  <c r="I79" i="4"/>
  <c r="K108" i="4"/>
  <c r="I80" i="4"/>
  <c r="I55" i="4"/>
  <c r="J52" i="4"/>
  <c r="I109" i="4"/>
  <c r="I71" i="4"/>
  <c r="K75" i="4"/>
  <c r="K9" i="4"/>
  <c r="I103" i="4"/>
  <c r="K78" i="4"/>
  <c r="K89" i="4"/>
  <c r="J23" i="4"/>
  <c r="I11" i="4"/>
  <c r="J54" i="4"/>
  <c r="J106" i="4"/>
  <c r="I70" i="4"/>
  <c r="I23" i="4"/>
  <c r="I54" i="4"/>
  <c r="I106" i="4"/>
  <c r="J51" i="4"/>
  <c r="J25" i="4"/>
  <c r="K101" i="4"/>
  <c r="K43" i="4"/>
  <c r="I51" i="4"/>
  <c r="I25" i="4"/>
  <c r="J32" i="4"/>
  <c r="I101" i="4"/>
  <c r="K38" i="4"/>
  <c r="K35" i="4"/>
  <c r="K46" i="4"/>
  <c r="I62" i="4"/>
  <c r="J2" i="4"/>
  <c r="I31" i="4"/>
  <c r="K109" i="4"/>
  <c r="K29" i="4"/>
  <c r="I68" i="4"/>
  <c r="J105" i="4"/>
  <c r="K91" i="4"/>
  <c r="J90" i="4"/>
  <c r="I85" i="4"/>
  <c r="K100" i="4"/>
  <c r="I2" i="4"/>
  <c r="K19" i="4"/>
  <c r="I29" i="4"/>
  <c r="K71" i="4"/>
  <c r="I105" i="4"/>
  <c r="I22" i="4"/>
  <c r="J47" i="4"/>
  <c r="I78" i="4"/>
  <c r="K66" i="4"/>
  <c r="K87" i="4"/>
  <c r="I42" i="4"/>
  <c r="J84" i="4"/>
  <c r="I47" i="4"/>
  <c r="K104" i="4"/>
  <c r="J27" i="4"/>
  <c r="I66" i="4"/>
  <c r="K45" i="4"/>
  <c r="K12" i="4"/>
  <c r="K81" i="4"/>
  <c r="J3" i="4"/>
  <c r="I45" i="4"/>
  <c r="K83" i="4"/>
  <c r="I52" i="4"/>
  <c r="I98" i="4"/>
  <c r="K74" i="4"/>
  <c r="J22" i="4"/>
  <c r="K11" i="4"/>
  <c r="K16" i="4"/>
  <c r="I27" i="4"/>
  <c r="I64" i="4"/>
  <c r="I19" i="4"/>
  <c r="K59" i="4"/>
  <c r="I87" i="4"/>
  <c r="K15" i="4"/>
  <c r="I46" i="4"/>
  <c r="K69" i="4"/>
  <c r="I77" i="4"/>
  <c r="J13" i="4"/>
  <c r="K57" i="4"/>
  <c r="I75" i="4"/>
  <c r="I99" i="4"/>
  <c r="I95" i="4"/>
  <c r="I49" i="4"/>
  <c r="K17" i="4"/>
  <c r="J30" i="4"/>
  <c r="I9" i="4"/>
  <c r="I104" i="4"/>
  <c r="I89" i="4"/>
  <c r="K94" i="4"/>
  <c r="I18" i="4"/>
  <c r="K48" i="4"/>
  <c r="I84" i="4"/>
  <c r="K40" i="4"/>
  <c r="I17" i="4"/>
  <c r="I30" i="4"/>
  <c r="I76" i="4"/>
  <c r="I72" i="4"/>
  <c r="I59" i="4"/>
  <c r="I33" i="4"/>
  <c r="I28" i="4"/>
  <c r="K60" i="4"/>
  <c r="I88" i="4"/>
  <c r="I91" i="4"/>
  <c r="I4" i="4"/>
  <c r="I69" i="4"/>
  <c r="K39" i="4"/>
  <c r="I6" i="4"/>
  <c r="I40" i="4"/>
  <c r="I58" i="4"/>
  <c r="K92" i="4"/>
  <c r="J92" i="4"/>
  <c r="J33" i="4"/>
  <c r="K28" i="4"/>
  <c r="J28" i="4"/>
  <c r="K34" i="4"/>
  <c r="J34" i="4"/>
  <c r="K67" i="4"/>
  <c r="J67" i="4"/>
  <c r="K107" i="4"/>
  <c r="J107" i="4"/>
  <c r="K65" i="4"/>
  <c r="J65" i="4"/>
  <c r="K106" i="4"/>
  <c r="K50" i="4"/>
  <c r="K31" i="4"/>
  <c r="J31" i="4"/>
  <c r="J95" i="4"/>
  <c r="K95" i="4"/>
  <c r="K110" i="4"/>
  <c r="J110" i="4"/>
  <c r="K97" i="4"/>
  <c r="J97" i="4"/>
  <c r="K21" i="4"/>
  <c r="J21" i="4"/>
  <c r="I7" i="4"/>
  <c r="K63" i="4"/>
  <c r="J63" i="4"/>
  <c r="I60" i="4"/>
  <c r="J98" i="4"/>
  <c r="I13" i="4"/>
  <c r="K37" i="4"/>
  <c r="J37" i="4"/>
  <c r="K53" i="4"/>
  <c r="J53" i="4"/>
  <c r="K44" i="4"/>
  <c r="J44" i="4"/>
  <c r="J56" i="4"/>
  <c r="K8" i="4"/>
  <c r="J8" i="4"/>
  <c r="J36" i="4"/>
  <c r="K55" i="4"/>
  <c r="J55" i="4"/>
  <c r="K61" i="4"/>
  <c r="K24" i="4"/>
  <c r="K96" i="4"/>
  <c r="J96" i="4"/>
  <c r="J6" i="4"/>
  <c r="J14" i="4"/>
  <c r="K20" i="4"/>
  <c r="K49" i="4"/>
  <c r="J49" i="4"/>
  <c r="K86" i="4"/>
  <c r="J86" i="4"/>
  <c r="K26" i="4"/>
  <c r="K10" i="4"/>
  <c r="J102" i="4"/>
  <c r="I41" i="4"/>
  <c r="I57" i="4"/>
  <c r="I83" i="4"/>
  <c r="I15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2" i="2"/>
  <c r="D3" i="2"/>
  <c r="D4" i="2"/>
  <c r="D5" i="2"/>
  <c r="D6" i="2"/>
  <c r="H6" i="2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H28" i="2" s="1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H43" i="2" s="1"/>
  <c r="D44" i="2"/>
  <c r="D45" i="2"/>
  <c r="H45" i="2" s="1"/>
  <c r="D46" i="2"/>
  <c r="D47" i="2"/>
  <c r="D48" i="2"/>
  <c r="D49" i="2"/>
  <c r="D50" i="2"/>
  <c r="H50" i="2" s="1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H65" i="2" s="1"/>
  <c r="D66" i="2"/>
  <c r="D67" i="2"/>
  <c r="H67" i="2" s="1"/>
  <c r="D68" i="2"/>
  <c r="D69" i="2"/>
  <c r="D70" i="2"/>
  <c r="D71" i="2"/>
  <c r="D72" i="2"/>
  <c r="H72" i="2" s="1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H87" i="2" s="1"/>
  <c r="D88" i="2"/>
  <c r="D89" i="2"/>
  <c r="H89" i="2" s="1"/>
  <c r="D90" i="2"/>
  <c r="D91" i="2"/>
  <c r="D92" i="2"/>
  <c r="H92" i="2" s="1"/>
  <c r="D93" i="2"/>
  <c r="D94" i="2"/>
  <c r="H94" i="2" s="1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H109" i="2" s="1"/>
  <c r="D11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2" i="2"/>
  <c r="C13" i="5" l="1"/>
  <c r="C17" i="5" s="1"/>
  <c r="C14" i="5"/>
  <c r="K4" i="4"/>
  <c r="J101" i="4"/>
  <c r="J68" i="4"/>
  <c r="J12" i="4"/>
  <c r="J80" i="4"/>
  <c r="J64" i="4"/>
  <c r="J45" i="4"/>
  <c r="K77" i="4"/>
  <c r="J91" i="4"/>
  <c r="J78" i="4"/>
  <c r="K54" i="4"/>
  <c r="J100" i="4"/>
  <c r="J72" i="4"/>
  <c r="K90" i="4"/>
  <c r="K105" i="4"/>
  <c r="J108" i="4"/>
  <c r="K52" i="4"/>
  <c r="J5" i="4"/>
  <c r="J81" i="4"/>
  <c r="K3" i="4"/>
  <c r="K25" i="4"/>
  <c r="J29" i="4"/>
  <c r="K51" i="4"/>
  <c r="J89" i="4"/>
  <c r="J75" i="4"/>
  <c r="J35" i="4"/>
  <c r="K32" i="4"/>
  <c r="J9" i="4"/>
  <c r="J104" i="4"/>
  <c r="K27" i="4"/>
  <c r="J69" i="4"/>
  <c r="J19" i="4"/>
  <c r="K23" i="4"/>
  <c r="J11" i="4"/>
  <c r="J39" i="4"/>
  <c r="J38" i="4"/>
  <c r="J87" i="4"/>
  <c r="J46" i="4"/>
  <c r="K84" i="4"/>
  <c r="K2" i="4"/>
  <c r="J71" i="4"/>
  <c r="J43" i="4"/>
  <c r="K47" i="4"/>
  <c r="K13" i="4"/>
  <c r="J57" i="4"/>
  <c r="J66" i="4"/>
  <c r="J17" i="4"/>
  <c r="J60" i="4"/>
  <c r="J16" i="4"/>
  <c r="J109" i="4"/>
  <c r="J83" i="4"/>
  <c r="J62" i="4"/>
  <c r="K62" i="4"/>
  <c r="J15" i="4"/>
  <c r="J40" i="4"/>
  <c r="J59" i="4"/>
  <c r="K22" i="4"/>
  <c r="K30" i="4"/>
  <c r="K70" i="4"/>
  <c r="J70" i="4"/>
  <c r="J76" i="4"/>
  <c r="K76" i="4"/>
  <c r="K88" i="4"/>
  <c r="J88" i="4"/>
  <c r="K103" i="4"/>
  <c r="J103" i="4"/>
  <c r="J73" i="4"/>
  <c r="K73" i="4"/>
  <c r="K99" i="4"/>
  <c r="J99" i="4"/>
  <c r="K85" i="4"/>
  <c r="J85" i="4"/>
  <c r="K93" i="4"/>
  <c r="J93" i="4"/>
  <c r="K41" i="4"/>
  <c r="J41" i="4"/>
  <c r="K82" i="4"/>
  <c r="J82" i="4"/>
  <c r="K79" i="4"/>
  <c r="J79" i="4"/>
  <c r="K42" i="4"/>
  <c r="J42" i="4"/>
  <c r="J58" i="4"/>
  <c r="K58" i="4"/>
  <c r="K7" i="4"/>
  <c r="J7" i="4"/>
  <c r="K18" i="4"/>
  <c r="J18" i="4"/>
  <c r="H16" i="2"/>
  <c r="H59" i="2"/>
  <c r="H80" i="2"/>
  <c r="H78" i="2"/>
  <c r="H81" i="2"/>
  <c r="H73" i="2"/>
  <c r="H51" i="2"/>
  <c r="H29" i="2"/>
  <c r="H7" i="2"/>
  <c r="H83" i="2"/>
  <c r="H82" i="2"/>
  <c r="H84" i="2"/>
  <c r="H38" i="2"/>
  <c r="H106" i="2"/>
  <c r="H105" i="2"/>
  <c r="H103" i="2"/>
  <c r="H95" i="2"/>
  <c r="H91" i="2"/>
  <c r="H69" i="2"/>
  <c r="H47" i="2"/>
  <c r="H25" i="2"/>
  <c r="H3" i="2"/>
  <c r="H60" i="2"/>
  <c r="H37" i="2"/>
  <c r="H104" i="2"/>
  <c r="H15" i="2"/>
  <c r="H71" i="2"/>
  <c r="H108" i="2"/>
  <c r="H86" i="2"/>
  <c r="H64" i="2"/>
  <c r="H42" i="2"/>
  <c r="H20" i="2"/>
  <c r="H21" i="2"/>
  <c r="H107" i="2"/>
  <c r="H85" i="2"/>
  <c r="H63" i="2"/>
  <c r="H41" i="2"/>
  <c r="H19" i="2"/>
  <c r="H62" i="2"/>
  <c r="H40" i="2"/>
  <c r="H18" i="2"/>
  <c r="H49" i="2"/>
  <c r="H61" i="2"/>
  <c r="H39" i="2"/>
  <c r="H17" i="2"/>
  <c r="H5" i="2"/>
  <c r="H58" i="2"/>
  <c r="H36" i="2"/>
  <c r="H14" i="2"/>
  <c r="H56" i="2"/>
  <c r="H34" i="2"/>
  <c r="H12" i="2"/>
  <c r="H102" i="2"/>
  <c r="H33" i="2"/>
  <c r="H98" i="2"/>
  <c r="H93" i="2"/>
  <c r="H57" i="2"/>
  <c r="H100" i="2"/>
  <c r="H77" i="2"/>
  <c r="H11" i="2"/>
  <c r="H54" i="2"/>
  <c r="H97" i="2"/>
  <c r="H75" i="2"/>
  <c r="H53" i="2"/>
  <c r="H31" i="2"/>
  <c r="H9" i="2"/>
  <c r="H27" i="2"/>
  <c r="H35" i="2"/>
  <c r="H13" i="2"/>
  <c r="H99" i="2"/>
  <c r="H55" i="2"/>
  <c r="H76" i="2"/>
  <c r="H32" i="2"/>
  <c r="H10" i="2"/>
  <c r="H96" i="2"/>
  <c r="H74" i="2"/>
  <c r="H52" i="2"/>
  <c r="H30" i="2"/>
  <c r="H8" i="2"/>
  <c r="H79" i="2"/>
  <c r="H70" i="2"/>
  <c r="H48" i="2"/>
  <c r="H26" i="2"/>
  <c r="H4" i="2"/>
  <c r="H90" i="2"/>
  <c r="H68" i="2"/>
  <c r="H46" i="2"/>
  <c r="H24" i="2"/>
  <c r="H23" i="2"/>
  <c r="H110" i="2"/>
  <c r="H88" i="2"/>
  <c r="H66" i="2"/>
  <c r="H44" i="2"/>
  <c r="H22" i="2"/>
  <c r="G88" i="2"/>
  <c r="J88" i="2" s="1"/>
  <c r="G44" i="2"/>
  <c r="J44" i="2" s="1"/>
  <c r="G22" i="2"/>
  <c r="J22" i="2" s="1"/>
  <c r="G65" i="2"/>
  <c r="J65" i="2" s="1"/>
  <c r="G86" i="2"/>
  <c r="J86" i="2" s="1"/>
  <c r="G110" i="2"/>
  <c r="J110" i="2" s="1"/>
  <c r="G87" i="2"/>
  <c r="J87" i="2" s="1"/>
  <c r="G109" i="2"/>
  <c r="J109" i="2" s="1"/>
  <c r="G43" i="2"/>
  <c r="J43" i="2" s="1"/>
  <c r="G107" i="2"/>
  <c r="J107" i="2" s="1"/>
  <c r="G108" i="2"/>
  <c r="J108" i="2" s="1"/>
  <c r="G19" i="2"/>
  <c r="J19" i="2" s="1"/>
  <c r="G105" i="2"/>
  <c r="J105" i="2" s="1"/>
  <c r="G17" i="2"/>
  <c r="J17" i="2" s="1"/>
  <c r="G41" i="2"/>
  <c r="J41" i="2" s="1"/>
  <c r="G39" i="2"/>
  <c r="J39" i="2" s="1"/>
  <c r="G56" i="2"/>
  <c r="J56" i="2" s="1"/>
  <c r="G55" i="2"/>
  <c r="J55" i="2" s="1"/>
  <c r="G52" i="2"/>
  <c r="J52" i="2" s="1"/>
  <c r="G42" i="2"/>
  <c r="J42" i="2" s="1"/>
  <c r="G85" i="2"/>
  <c r="J85" i="2" s="1"/>
  <c r="G106" i="2"/>
  <c r="J106" i="2" s="1"/>
  <c r="G84" i="2"/>
  <c r="J84" i="2" s="1"/>
  <c r="G40" i="2"/>
  <c r="J40" i="2" s="1"/>
  <c r="G18" i="2"/>
  <c r="J18" i="2" s="1"/>
  <c r="G83" i="2"/>
  <c r="J83" i="2" s="1"/>
  <c r="G57" i="2"/>
  <c r="J57" i="2" s="1"/>
  <c r="G53" i="2"/>
  <c r="J53" i="2" s="1"/>
  <c r="G96" i="2"/>
  <c r="J96" i="2" s="1"/>
  <c r="G89" i="2"/>
  <c r="J89" i="2" s="1"/>
  <c r="G103" i="2"/>
  <c r="J103" i="2" s="1"/>
  <c r="G36" i="2"/>
  <c r="J36" i="2" s="1"/>
  <c r="J101" i="2"/>
  <c r="G62" i="2"/>
  <c r="J62" i="2" s="1"/>
  <c r="G61" i="2"/>
  <c r="J61" i="2" s="1"/>
  <c r="G60" i="2"/>
  <c r="J60" i="2" s="1"/>
  <c r="G16" i="2"/>
  <c r="J16" i="2" s="1"/>
  <c r="G13" i="2"/>
  <c r="J13" i="2" s="1"/>
  <c r="G78" i="2"/>
  <c r="J78" i="2" s="1"/>
  <c r="G34" i="2"/>
  <c r="J34" i="2" s="1"/>
  <c r="G99" i="2"/>
  <c r="J99" i="2" s="1"/>
  <c r="G75" i="2"/>
  <c r="J75" i="2" s="1"/>
  <c r="G29" i="2"/>
  <c r="J29" i="2" s="1"/>
  <c r="G81" i="2"/>
  <c r="J81" i="2" s="1"/>
  <c r="G15" i="2"/>
  <c r="J15" i="2" s="1"/>
  <c r="G77" i="2"/>
  <c r="J77" i="2" s="1"/>
  <c r="G9" i="2"/>
  <c r="J9" i="2" s="1"/>
  <c r="G79" i="2"/>
  <c r="J79" i="2" s="1"/>
  <c r="G59" i="2"/>
  <c r="J59" i="2" s="1"/>
  <c r="G37" i="2"/>
  <c r="J37" i="2" s="1"/>
  <c r="G100" i="2"/>
  <c r="J100" i="2" s="1"/>
  <c r="G12" i="2"/>
  <c r="J12" i="2" s="1"/>
  <c r="G33" i="2"/>
  <c r="J33" i="2" s="1"/>
  <c r="G97" i="2"/>
  <c r="J97" i="2" s="1"/>
  <c r="G74" i="2"/>
  <c r="J74" i="2" s="1"/>
  <c r="G8" i="2"/>
  <c r="J8" i="2" s="1"/>
  <c r="G30" i="2"/>
  <c r="J30" i="2" s="1"/>
  <c r="G67" i="2"/>
  <c r="J67" i="2" s="1"/>
  <c r="G66" i="2"/>
  <c r="J66" i="2" s="1"/>
  <c r="G82" i="2"/>
  <c r="J82" i="2" s="1"/>
  <c r="G11" i="2"/>
  <c r="J11" i="2" s="1"/>
  <c r="G104" i="2"/>
  <c r="J104" i="2" s="1"/>
  <c r="G64" i="2"/>
  <c r="J64" i="2" s="1"/>
  <c r="G38" i="2"/>
  <c r="J38" i="2" s="1"/>
  <c r="G32" i="2"/>
  <c r="J32" i="2" s="1"/>
  <c r="G21" i="2"/>
  <c r="J21" i="2" s="1"/>
  <c r="G20" i="2"/>
  <c r="J20" i="2" s="1"/>
  <c r="G63" i="2"/>
  <c r="J63" i="2" s="1"/>
  <c r="G76" i="2"/>
  <c r="J76" i="2" s="1"/>
  <c r="G73" i="2"/>
  <c r="J73" i="2" s="1"/>
  <c r="G7" i="2"/>
  <c r="J7" i="2" s="1"/>
  <c r="G27" i="2"/>
  <c r="J27" i="2" s="1"/>
  <c r="G70" i="2"/>
  <c r="J70" i="2" s="1"/>
  <c r="G69" i="2"/>
  <c r="J69" i="2" s="1"/>
  <c r="G23" i="2"/>
  <c r="J23" i="2" s="1"/>
  <c r="G80" i="2"/>
  <c r="J80" i="2" s="1"/>
  <c r="G14" i="2"/>
  <c r="J14" i="2" s="1"/>
  <c r="G54" i="2"/>
  <c r="J54" i="2" s="1"/>
  <c r="G10" i="2"/>
  <c r="J10" i="2" s="1"/>
  <c r="G31" i="2"/>
  <c r="J31" i="2" s="1"/>
  <c r="G72" i="2"/>
  <c r="J72" i="2" s="1"/>
  <c r="G6" i="2"/>
  <c r="J6" i="2" s="1"/>
  <c r="G71" i="2"/>
  <c r="J71" i="2" s="1"/>
  <c r="G92" i="2"/>
  <c r="J92" i="2" s="1"/>
  <c r="G4" i="2"/>
  <c r="J4" i="2" s="1"/>
  <c r="G91" i="2"/>
  <c r="J91" i="2" s="1"/>
  <c r="G3" i="2"/>
  <c r="J3" i="2" s="1"/>
  <c r="G68" i="2"/>
  <c r="J68" i="2" s="1"/>
  <c r="G45" i="2"/>
  <c r="J45" i="2" s="1"/>
  <c r="G102" i="2"/>
  <c r="J102" i="2" s="1"/>
  <c r="G58" i="2"/>
  <c r="J58" i="2" s="1"/>
  <c r="G35" i="2"/>
  <c r="J35" i="2" s="1"/>
  <c r="G98" i="2"/>
  <c r="J98" i="2" s="1"/>
  <c r="G95" i="2"/>
  <c r="J95" i="2" s="1"/>
  <c r="G51" i="2"/>
  <c r="J51" i="2" s="1"/>
  <c r="G94" i="2"/>
  <c r="J94" i="2" s="1"/>
  <c r="G50" i="2"/>
  <c r="J50" i="2" s="1"/>
  <c r="G28" i="2"/>
  <c r="J28" i="2" s="1"/>
  <c r="G93" i="2"/>
  <c r="J93" i="2" s="1"/>
  <c r="G49" i="2"/>
  <c r="J49" i="2" s="1"/>
  <c r="G5" i="2"/>
  <c r="J5" i="2" s="1"/>
  <c r="G48" i="2"/>
  <c r="J48" i="2" s="1"/>
  <c r="G26" i="2"/>
  <c r="J26" i="2" s="1"/>
  <c r="G47" i="2"/>
  <c r="J47" i="2" s="1"/>
  <c r="G25" i="2"/>
  <c r="J25" i="2" s="1"/>
  <c r="G90" i="2"/>
  <c r="J90" i="2" s="1"/>
  <c r="G46" i="2"/>
  <c r="J46" i="2" s="1"/>
  <c r="G24" i="2"/>
  <c r="J24" i="2" s="1"/>
  <c r="I94" i="2" l="1"/>
  <c r="I3" i="2"/>
  <c r="I21" i="2"/>
  <c r="I81" i="2"/>
  <c r="I106" i="2"/>
  <c r="I24" i="2"/>
  <c r="I91" i="2"/>
  <c r="I32" i="2"/>
  <c r="I29" i="2"/>
  <c r="I85" i="2"/>
  <c r="I46" i="2"/>
  <c r="I4" i="2"/>
  <c r="I38" i="2"/>
  <c r="I75" i="2"/>
  <c r="I42" i="2"/>
  <c r="I90" i="2"/>
  <c r="I92" i="2"/>
  <c r="I64" i="2"/>
  <c r="I99" i="2"/>
  <c r="I52" i="2"/>
  <c r="I25" i="2"/>
  <c r="I71" i="2"/>
  <c r="I104" i="2"/>
  <c r="I34" i="2"/>
  <c r="I55" i="2"/>
  <c r="I47" i="2"/>
  <c r="I6" i="2"/>
  <c r="I11" i="2"/>
  <c r="I78" i="2"/>
  <c r="I56" i="2"/>
  <c r="I26" i="2"/>
  <c r="I72" i="2"/>
  <c r="I82" i="2"/>
  <c r="I13" i="2"/>
  <c r="I39" i="2"/>
  <c r="I48" i="2"/>
  <c r="I31" i="2"/>
  <c r="I66" i="2"/>
  <c r="I16" i="2"/>
  <c r="I41" i="2"/>
  <c r="I5" i="2"/>
  <c r="I10" i="2"/>
  <c r="I67" i="2"/>
  <c r="I60" i="2"/>
  <c r="I17" i="2"/>
  <c r="I49" i="2"/>
  <c r="I54" i="2"/>
  <c r="I30" i="2"/>
  <c r="I61" i="2"/>
  <c r="I105" i="2"/>
  <c r="I93" i="2"/>
  <c r="I14" i="2"/>
  <c r="I8" i="2"/>
  <c r="I62" i="2"/>
  <c r="I19" i="2"/>
  <c r="I28" i="2"/>
  <c r="I80" i="2"/>
  <c r="I74" i="2"/>
  <c r="I101" i="2"/>
  <c r="I108" i="2"/>
  <c r="I50" i="2"/>
  <c r="I23" i="2"/>
  <c r="I97" i="2"/>
  <c r="I36" i="2"/>
  <c r="I107" i="2"/>
  <c r="I33" i="2"/>
  <c r="I103" i="2"/>
  <c r="I43" i="2"/>
  <c r="I51" i="2"/>
  <c r="I69" i="2"/>
  <c r="I12" i="2"/>
  <c r="I89" i="2"/>
  <c r="I109" i="2"/>
  <c r="I95" i="2"/>
  <c r="I70" i="2"/>
  <c r="I100" i="2"/>
  <c r="I96" i="2"/>
  <c r="I87" i="2"/>
  <c r="I98" i="2"/>
  <c r="I27" i="2"/>
  <c r="I37" i="2"/>
  <c r="I53" i="2"/>
  <c r="I110" i="2"/>
  <c r="I35" i="2"/>
  <c r="I7" i="2"/>
  <c r="I59" i="2"/>
  <c r="I57" i="2"/>
  <c r="I86" i="2"/>
  <c r="I58" i="2"/>
  <c r="I73" i="2"/>
  <c r="I79" i="2"/>
  <c r="I83" i="2"/>
  <c r="I65" i="2"/>
  <c r="I102" i="2"/>
  <c r="I76" i="2"/>
  <c r="I9" i="2"/>
  <c r="I18" i="2"/>
  <c r="I22" i="2"/>
  <c r="I45" i="2"/>
  <c r="I63" i="2"/>
  <c r="I77" i="2"/>
  <c r="I40" i="2"/>
  <c r="I44" i="2"/>
  <c r="I68" i="2"/>
  <c r="I20" i="2"/>
  <c r="I15" i="2"/>
  <c r="I84" i="2"/>
  <c r="I88" i="2"/>
</calcChain>
</file>

<file path=xl/sharedStrings.xml><?xml version="1.0" encoding="utf-8"?>
<sst xmlns="http://schemas.openxmlformats.org/spreadsheetml/2006/main" count="1485" uniqueCount="153">
  <si>
    <t>Jurisdiction</t>
  </si>
  <si>
    <t>County</t>
  </si>
  <si>
    <t>PCI</t>
  </si>
  <si>
    <t>Date</t>
  </si>
  <si>
    <t>alamedaci</t>
  </si>
  <si>
    <t>Alameda County</t>
  </si>
  <si>
    <t>alamedaco</t>
  </si>
  <si>
    <t>albanyci</t>
  </si>
  <si>
    <t>berkeleyci</t>
  </si>
  <si>
    <t>dublinci</t>
  </si>
  <si>
    <t>emeryvilleci</t>
  </si>
  <si>
    <t>fremontci</t>
  </si>
  <si>
    <t>haywardci</t>
  </si>
  <si>
    <t>livermoreci</t>
  </si>
  <si>
    <t>newarkci</t>
  </si>
  <si>
    <t>oaklandci</t>
  </si>
  <si>
    <t>piedmontci</t>
  </si>
  <si>
    <t>pleasantonci</t>
  </si>
  <si>
    <t>sanleandroci</t>
  </si>
  <si>
    <t>unioncityci</t>
  </si>
  <si>
    <t>antiochci</t>
  </si>
  <si>
    <t>Contra Costa County</t>
  </si>
  <si>
    <t>brentwoodci</t>
  </si>
  <si>
    <t>claytonci</t>
  </si>
  <si>
    <t>concordci</t>
  </si>
  <si>
    <t>contracostaco</t>
  </si>
  <si>
    <t>danvilleci</t>
  </si>
  <si>
    <t>elcerritoci</t>
  </si>
  <si>
    <t>herculesci</t>
  </si>
  <si>
    <t>lafayetteci</t>
  </si>
  <si>
    <t>martinezci</t>
  </si>
  <si>
    <t>moragaci</t>
  </si>
  <si>
    <t>oakleyci</t>
  </si>
  <si>
    <t>orindaci</t>
  </si>
  <si>
    <t>pinoleci</t>
  </si>
  <si>
    <t>pittsburgci</t>
  </si>
  <si>
    <t>pleasanthillci</t>
  </si>
  <si>
    <t>richmondci</t>
  </si>
  <si>
    <t>sanpabloci</t>
  </si>
  <si>
    <t>sanramonci</t>
  </si>
  <si>
    <t>walnutcreekci</t>
  </si>
  <si>
    <t>belvedereci</t>
  </si>
  <si>
    <t>Marin County</t>
  </si>
  <si>
    <t>cortemaderaci</t>
  </si>
  <si>
    <t>fairfaxci</t>
  </si>
  <si>
    <t>larkspurci</t>
  </si>
  <si>
    <t>marinco</t>
  </si>
  <si>
    <t>millvalleyci</t>
  </si>
  <si>
    <t>novatoci</t>
  </si>
  <si>
    <t>rossci</t>
  </si>
  <si>
    <t>sananselmoci</t>
  </si>
  <si>
    <t>sanrafaelci</t>
  </si>
  <si>
    <t>sausalitoci</t>
  </si>
  <si>
    <t>tiburonci</t>
  </si>
  <si>
    <t>AmericanCanyonci</t>
  </si>
  <si>
    <t>Napa County</t>
  </si>
  <si>
    <t>calistogaci</t>
  </si>
  <si>
    <t>helenaci</t>
  </si>
  <si>
    <t>napaci</t>
  </si>
  <si>
    <t>napaco</t>
  </si>
  <si>
    <t>yountvilleci</t>
  </si>
  <si>
    <t>SanFranci</t>
  </si>
  <si>
    <t>San Francisco County</t>
  </si>
  <si>
    <t>athertonci</t>
  </si>
  <si>
    <t>San Mateo County</t>
  </si>
  <si>
    <t>Belmontci</t>
  </si>
  <si>
    <t>brisbaneci</t>
  </si>
  <si>
    <t>burlingameci</t>
  </si>
  <si>
    <t>colmaci</t>
  </si>
  <si>
    <t>dalyci</t>
  </si>
  <si>
    <t>epaloaltoci</t>
  </si>
  <si>
    <t>fostercityci</t>
  </si>
  <si>
    <t>halfmoonbayci</t>
  </si>
  <si>
    <t>hillsboroughci</t>
  </si>
  <si>
    <t>menloparkci</t>
  </si>
  <si>
    <t>millbraeci</t>
  </si>
  <si>
    <t>pacificaci</t>
  </si>
  <si>
    <t>PortolaValleyci</t>
  </si>
  <si>
    <t>redwoodci</t>
  </si>
  <si>
    <t>sanbrunoci</t>
  </si>
  <si>
    <t>sancarlosci</t>
  </si>
  <si>
    <t>sanmateoci</t>
  </si>
  <si>
    <t>sanmateoco</t>
  </si>
  <si>
    <t>southsanfranci</t>
  </si>
  <si>
    <t>woodsideci</t>
  </si>
  <si>
    <t>campbellci</t>
  </si>
  <si>
    <t>Santa Clara County</t>
  </si>
  <si>
    <t>cupertinoci</t>
  </si>
  <si>
    <t>gilroyci</t>
  </si>
  <si>
    <t>losaltosci</t>
  </si>
  <si>
    <t>losaltoshillsci</t>
  </si>
  <si>
    <t>losgatosci</t>
  </si>
  <si>
    <t>milpitasci</t>
  </si>
  <si>
    <t>MonteSerenoci</t>
  </si>
  <si>
    <t>morganhillci</t>
  </si>
  <si>
    <t>mtnviewci</t>
  </si>
  <si>
    <t>paloaltoci</t>
  </si>
  <si>
    <t>sanjoseci</t>
  </si>
  <si>
    <t>santaclaraci</t>
  </si>
  <si>
    <t>santaclaraco</t>
  </si>
  <si>
    <t>Saratogaci</t>
  </si>
  <si>
    <t>sunnyvaleci</t>
  </si>
  <si>
    <t>beniciaci</t>
  </si>
  <si>
    <t>Solano County</t>
  </si>
  <si>
    <t>dixonci</t>
  </si>
  <si>
    <t>fairfieldci</t>
  </si>
  <si>
    <t>RioVistaci</t>
  </si>
  <si>
    <t>Solanoco</t>
  </si>
  <si>
    <t>suisunci</t>
  </si>
  <si>
    <t>vacavilleci</t>
  </si>
  <si>
    <t>vallejoci</t>
  </si>
  <si>
    <t>cloverdaleci</t>
  </si>
  <si>
    <t>Sonoma County</t>
  </si>
  <si>
    <t>cotatici</t>
  </si>
  <si>
    <t>healdsburgci</t>
  </si>
  <si>
    <t>petalumaci</t>
  </si>
  <si>
    <t>rohnertparkci</t>
  </si>
  <si>
    <t>santarosaci</t>
  </si>
  <si>
    <t>sebastopolci</t>
  </si>
  <si>
    <t>sonomaci</t>
  </si>
  <si>
    <t>sonomaco</t>
  </si>
  <si>
    <t>windsorci</t>
  </si>
  <si>
    <t>12/31/2022 PCI</t>
  </si>
  <si>
    <t>12/31/2023 PCI</t>
  </si>
  <si>
    <t>12/31/2024 PCI</t>
  </si>
  <si>
    <t>7/15/2025 PCI</t>
  </si>
  <si>
    <t>Row Labels</t>
  </si>
  <si>
    <t>Column Labels</t>
  </si>
  <si>
    <t>Average of PCI</t>
  </si>
  <si>
    <t>Average is Greater than Latest</t>
  </si>
  <si>
    <t>PCI Average 2023-2025</t>
  </si>
  <si>
    <t>Average over 4 years</t>
  </si>
  <si>
    <t>PCI Average 2022-2024</t>
  </si>
  <si>
    <t>DIFFERENCE 2022-24 Average minus 2025</t>
  </si>
  <si>
    <t>PCI Average 2022-2024 Rounded</t>
  </si>
  <si>
    <t>Ranking</t>
  </si>
  <si>
    <t>Very Good</t>
  </si>
  <si>
    <t>Good</t>
  </si>
  <si>
    <t>Fair</t>
  </si>
  <si>
    <t>At Risk</t>
  </si>
  <si>
    <t>Poor</t>
  </si>
  <si>
    <t>County Average PCI</t>
  </si>
  <si>
    <t>Excellent or Very Good</t>
  </si>
  <si>
    <t>Good or Fair</t>
  </si>
  <si>
    <t>Poor or Failed</t>
  </si>
  <si>
    <t>Percentage of Region</t>
  </si>
  <si>
    <t>Regional Weighted Network PCI</t>
  </si>
  <si>
    <t>Total Lane Miles</t>
  </si>
  <si>
    <t>Total Region Lane Miles</t>
  </si>
  <si>
    <t>Lane Mileage per Rank</t>
  </si>
  <si>
    <t>Category</t>
  </si>
  <si>
    <t>% of Lane Miles</t>
  </si>
  <si>
    <t>Excellent of 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</si>
</sst>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4" xfId="0" applyBorder="1"/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/>
    <xf numFmtId="43" fontId="0" fillId="0" borderId="0" xfId="0" applyNumberFormat="1" applyAlignment="1">
      <alignment horizontal="center"/>
    </xf>
    <xf numFmtId="43" fontId="0" fillId="0" borderId="0" xfId="1" applyFont="1" applyBorder="1" applyAlignment="1">
      <alignment horizontal="center"/>
    </xf>
    <xf numFmtId="0" fontId="1" fillId="7" borderId="9" xfId="0" applyFont="1" applyFill="1" applyBorder="1"/>
    <xf numFmtId="1" fontId="1" fillId="0" borderId="10" xfId="1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1" fillId="0" borderId="6" xfId="0" applyFont="1" applyBorder="1"/>
    <xf numFmtId="43" fontId="1" fillId="0" borderId="7" xfId="1" applyFon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9" fontId="1" fillId="0" borderId="5" xfId="0" applyNumberFormat="1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'MTC Regional PCIs 2022-2025'!$J$1</c:f>
              <c:strCache>
                <c:ptCount val="1"/>
                <c:pt idx="0">
                  <c:v>DIFFERENCE 2022-24 Average minus 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'MTC Regional PCIs 2022-2025'!$A$2:$I$110</c:f>
              <c:multiLvlStrCache>
                <c:ptCount val="109"/>
                <c:lvl>
                  <c:pt idx="0">
                    <c:v>TRUE</c:v>
                  </c:pt>
                  <c:pt idx="1">
                    <c:v>TRUE</c:v>
                  </c:pt>
                  <c:pt idx="2">
                    <c:v>TRUE</c:v>
                  </c:pt>
                  <c:pt idx="3">
                    <c:v>TRUE</c:v>
                  </c:pt>
                  <c:pt idx="4">
                    <c:v>TRUE</c:v>
                  </c:pt>
                  <c:pt idx="5">
                    <c:v>FALSE</c:v>
                  </c:pt>
                  <c:pt idx="6">
                    <c:v>FALSE</c:v>
                  </c:pt>
                  <c:pt idx="7">
                    <c:v>TRUE</c:v>
                  </c:pt>
                  <c:pt idx="8">
                    <c:v>TRUE</c:v>
                  </c:pt>
                  <c:pt idx="9">
                    <c:v>FALSE</c:v>
                  </c:pt>
                  <c:pt idx="10">
                    <c:v>TRUE</c:v>
                  </c:pt>
                  <c:pt idx="11">
                    <c:v>TRUE</c:v>
                  </c:pt>
                  <c:pt idx="12">
                    <c:v>TRUE</c:v>
                  </c:pt>
                  <c:pt idx="13">
                    <c:v>TRUE</c:v>
                  </c:pt>
                  <c:pt idx="14">
                    <c:v>TRUE</c:v>
                  </c:pt>
                  <c:pt idx="15">
                    <c:v>TRUE</c:v>
                  </c:pt>
                  <c:pt idx="16">
                    <c:v>TRUE</c:v>
                  </c:pt>
                  <c:pt idx="17">
                    <c:v>FALSE</c:v>
                  </c:pt>
                  <c:pt idx="18">
                    <c:v>TRUE</c:v>
                  </c:pt>
                  <c:pt idx="19">
                    <c:v>TRUE</c:v>
                  </c:pt>
                  <c:pt idx="20">
                    <c:v>TRUE</c:v>
                  </c:pt>
                  <c:pt idx="21">
                    <c:v>FALSE</c:v>
                  </c:pt>
                  <c:pt idx="22">
                    <c:v>TRUE</c:v>
                  </c:pt>
                  <c:pt idx="23">
                    <c:v>TRUE</c:v>
                  </c:pt>
                  <c:pt idx="24">
                    <c:v>FALSE</c:v>
                  </c:pt>
                  <c:pt idx="25">
                    <c:v>TRUE</c:v>
                  </c:pt>
                  <c:pt idx="26">
                    <c:v>TRUE</c:v>
                  </c:pt>
                  <c:pt idx="27">
                    <c:v>TRUE</c:v>
                  </c:pt>
                  <c:pt idx="28">
                    <c:v>TRUE</c:v>
                  </c:pt>
                  <c:pt idx="29">
                    <c:v>TRUE</c:v>
                  </c:pt>
                  <c:pt idx="30">
                    <c:v>TRUE</c:v>
                  </c:pt>
                  <c:pt idx="31">
                    <c:v>TRUE</c:v>
                  </c:pt>
                  <c:pt idx="32">
                    <c:v>TRUE</c:v>
                  </c:pt>
                  <c:pt idx="33">
                    <c:v>TRUE</c:v>
                  </c:pt>
                  <c:pt idx="34">
                    <c:v>TRUE</c:v>
                  </c:pt>
                  <c:pt idx="35">
                    <c:v>TRUE</c:v>
                  </c:pt>
                  <c:pt idx="36">
                    <c:v>FALSE</c:v>
                  </c:pt>
                  <c:pt idx="37">
                    <c:v>TRUE</c:v>
                  </c:pt>
                  <c:pt idx="38">
                    <c:v>FALSE</c:v>
                  </c:pt>
                  <c:pt idx="39">
                    <c:v>TRUE</c:v>
                  </c:pt>
                  <c:pt idx="40">
                    <c:v>TRUE</c:v>
                  </c:pt>
                  <c:pt idx="41">
                    <c:v>FALSE</c:v>
                  </c:pt>
                  <c:pt idx="42">
                    <c:v>TRUE</c:v>
                  </c:pt>
                  <c:pt idx="43">
                    <c:v>TRUE</c:v>
                  </c:pt>
                  <c:pt idx="44">
                    <c:v>TRUE</c:v>
                  </c:pt>
                  <c:pt idx="45">
                    <c:v>FALSE</c:v>
                  </c:pt>
                  <c:pt idx="46">
                    <c:v>FALSE</c:v>
                  </c:pt>
                  <c:pt idx="47">
                    <c:v>FALSE</c:v>
                  </c:pt>
                  <c:pt idx="48">
                    <c:v>TRUE</c:v>
                  </c:pt>
                  <c:pt idx="49">
                    <c:v>TRUE</c:v>
                  </c:pt>
                  <c:pt idx="50">
                    <c:v>TRUE</c:v>
                  </c:pt>
                  <c:pt idx="51">
                    <c:v>FALSE</c:v>
                  </c:pt>
                  <c:pt idx="52">
                    <c:v>TRUE</c:v>
                  </c:pt>
                  <c:pt idx="53">
                    <c:v>FALSE</c:v>
                  </c:pt>
                  <c:pt idx="54">
                    <c:v>FALSE</c:v>
                  </c:pt>
                  <c:pt idx="55">
                    <c:v>TRUE</c:v>
                  </c:pt>
                  <c:pt idx="56">
                    <c:v>TRUE</c:v>
                  </c:pt>
                  <c:pt idx="57">
                    <c:v>FALSE</c:v>
                  </c:pt>
                  <c:pt idx="58">
                    <c:v>FALSE</c:v>
                  </c:pt>
                  <c:pt idx="59">
                    <c:v>TRUE</c:v>
                  </c:pt>
                  <c:pt idx="60">
                    <c:v>TRUE</c:v>
                  </c:pt>
                  <c:pt idx="61">
                    <c:v>FALSE</c:v>
                  </c:pt>
                  <c:pt idx="62">
                    <c:v>TRUE</c:v>
                  </c:pt>
                  <c:pt idx="63">
                    <c:v>TRUE</c:v>
                  </c:pt>
                  <c:pt idx="64">
                    <c:v>TRUE</c:v>
                  </c:pt>
                  <c:pt idx="65">
                    <c:v>TRUE</c:v>
                  </c:pt>
                  <c:pt idx="66">
                    <c:v>FALSE</c:v>
                  </c:pt>
                  <c:pt idx="67">
                    <c:v>TRUE</c:v>
                  </c:pt>
                  <c:pt idx="68">
                    <c:v>TRUE</c:v>
                  </c:pt>
                  <c:pt idx="69">
                    <c:v>TRUE</c:v>
                  </c:pt>
                  <c:pt idx="70">
                    <c:v>TRUE</c:v>
                  </c:pt>
                  <c:pt idx="71">
                    <c:v>TRUE</c:v>
                  </c:pt>
                  <c:pt idx="72">
                    <c:v>TRUE</c:v>
                  </c:pt>
                  <c:pt idx="73">
                    <c:v>TRUE</c:v>
                  </c:pt>
                  <c:pt idx="74">
                    <c:v>TRUE</c:v>
                  </c:pt>
                  <c:pt idx="75">
                    <c:v>TRUE</c:v>
                  </c:pt>
                  <c:pt idx="76">
                    <c:v>TRUE</c:v>
                  </c:pt>
                  <c:pt idx="77">
                    <c:v>TRUE</c:v>
                  </c:pt>
                  <c:pt idx="78">
                    <c:v>FALSE</c:v>
                  </c:pt>
                  <c:pt idx="79">
                    <c:v>FALSE</c:v>
                  </c:pt>
                  <c:pt idx="80">
                    <c:v>TRUE</c:v>
                  </c:pt>
                  <c:pt idx="81">
                    <c:v>FALSE</c:v>
                  </c:pt>
                  <c:pt idx="82">
                    <c:v>TRUE</c:v>
                  </c:pt>
                  <c:pt idx="83">
                    <c:v>TRUE</c:v>
                  </c:pt>
                  <c:pt idx="84">
                    <c:v>TRUE</c:v>
                  </c:pt>
                  <c:pt idx="85">
                    <c:v>TRUE</c:v>
                  </c:pt>
                  <c:pt idx="86">
                    <c:v>TRUE</c:v>
                  </c:pt>
                  <c:pt idx="87">
                    <c:v>TRUE</c:v>
                  </c:pt>
                  <c:pt idx="88">
                    <c:v>TRUE</c:v>
                  </c:pt>
                  <c:pt idx="89">
                    <c:v>TRUE</c:v>
                  </c:pt>
                  <c:pt idx="90">
                    <c:v>FALSE</c:v>
                  </c:pt>
                  <c:pt idx="91">
                    <c:v>FALSE</c:v>
                  </c:pt>
                  <c:pt idx="92">
                    <c:v>TRUE</c:v>
                  </c:pt>
                  <c:pt idx="93">
                    <c:v>TRUE</c:v>
                  </c:pt>
                  <c:pt idx="94">
                    <c:v>FALSE</c:v>
                  </c:pt>
                  <c:pt idx="95">
                    <c:v>TRUE</c:v>
                  </c:pt>
                  <c:pt idx="96">
                    <c:v>TRUE</c:v>
                  </c:pt>
                  <c:pt idx="97">
                    <c:v>TRUE</c:v>
                  </c:pt>
                  <c:pt idx="98">
                    <c:v>TRUE</c:v>
                  </c:pt>
                  <c:pt idx="99">
                    <c:v>TRUE</c:v>
                  </c:pt>
                  <c:pt idx="100">
                    <c:v>TRUE</c:v>
                  </c:pt>
                  <c:pt idx="101">
                    <c:v>FALSE</c:v>
                  </c:pt>
                  <c:pt idx="102">
                    <c:v>TRUE</c:v>
                  </c:pt>
                  <c:pt idx="103">
                    <c:v>TRUE</c:v>
                  </c:pt>
                  <c:pt idx="104">
                    <c:v>TRUE</c:v>
                  </c:pt>
                  <c:pt idx="105">
                    <c:v>FALSE</c:v>
                  </c:pt>
                  <c:pt idx="106">
                    <c:v>TRUE</c:v>
                  </c:pt>
                  <c:pt idx="107">
                    <c:v>TRUE</c:v>
                  </c:pt>
                  <c:pt idx="108">
                    <c:v>TRUE</c:v>
                  </c:pt>
                </c:lvl>
                <c:lvl>
                  <c:pt idx="0">
                    <c:v>64.00</c:v>
                  </c:pt>
                  <c:pt idx="1">
                    <c:v>73.00</c:v>
                  </c:pt>
                  <c:pt idx="2">
                    <c:v>58.33</c:v>
                  </c:pt>
                  <c:pt idx="3">
                    <c:v>56.67</c:v>
                  </c:pt>
                  <c:pt idx="4">
                    <c:v>61.33</c:v>
                  </c:pt>
                  <c:pt idx="5">
                    <c:v>76.67</c:v>
                  </c:pt>
                  <c:pt idx="6">
                    <c:v>69.00</c:v>
                  </c:pt>
                  <c:pt idx="7">
                    <c:v>72.00</c:v>
                  </c:pt>
                  <c:pt idx="8">
                    <c:v>53.33</c:v>
                  </c:pt>
                  <c:pt idx="9">
                    <c:v>56.00</c:v>
                  </c:pt>
                  <c:pt idx="10">
                    <c:v>76.33</c:v>
                  </c:pt>
                  <c:pt idx="11">
                    <c:v>70.67</c:v>
                  </c:pt>
                  <c:pt idx="12">
                    <c:v>75.00</c:v>
                  </c:pt>
                  <c:pt idx="13">
                    <c:v>55.33</c:v>
                  </c:pt>
                  <c:pt idx="14">
                    <c:v>64.33</c:v>
                  </c:pt>
                  <c:pt idx="15">
                    <c:v>74.00</c:v>
                  </c:pt>
                  <c:pt idx="16">
                    <c:v>57.67</c:v>
                  </c:pt>
                  <c:pt idx="17">
                    <c:v>80.33</c:v>
                  </c:pt>
                  <c:pt idx="18">
                    <c:v>55.00</c:v>
                  </c:pt>
                  <c:pt idx="19">
                    <c:v>71.33</c:v>
                  </c:pt>
                  <c:pt idx="20">
                    <c:v>67.33</c:v>
                  </c:pt>
                  <c:pt idx="21">
                    <c:v>74.33</c:v>
                  </c:pt>
                  <c:pt idx="22">
                    <c:v>81.33</c:v>
                  </c:pt>
                  <c:pt idx="23">
                    <c:v>77.33</c:v>
                  </c:pt>
                  <c:pt idx="24">
                    <c:v>78.33</c:v>
                  </c:pt>
                  <c:pt idx="25">
                    <c:v>64.67</c:v>
                  </c:pt>
                  <c:pt idx="26">
                    <c:v>77.33</c:v>
                  </c:pt>
                  <c:pt idx="27">
                    <c:v>66.33</c:v>
                  </c:pt>
                  <c:pt idx="28">
                    <c:v>76.00</c:v>
                  </c:pt>
                  <c:pt idx="29">
                    <c:v>58.33</c:v>
                  </c:pt>
                  <c:pt idx="30">
                    <c:v>52.00</c:v>
                  </c:pt>
                  <c:pt idx="31">
                    <c:v>63.00</c:v>
                  </c:pt>
                  <c:pt idx="32">
                    <c:v>77.00</c:v>
                  </c:pt>
                  <c:pt idx="33">
                    <c:v>70.00</c:v>
                  </c:pt>
                  <c:pt idx="34">
                    <c:v>63.33</c:v>
                  </c:pt>
                  <c:pt idx="35">
                    <c:v>63.00</c:v>
                  </c:pt>
                  <c:pt idx="36">
                    <c:v>74.33</c:v>
                  </c:pt>
                  <c:pt idx="37">
                    <c:v>68.33</c:v>
                  </c:pt>
                  <c:pt idx="38">
                    <c:v>58.67</c:v>
                  </c:pt>
                  <c:pt idx="39">
                    <c:v>60.33</c:v>
                  </c:pt>
                  <c:pt idx="40">
                    <c:v>81.00</c:v>
                  </c:pt>
                  <c:pt idx="41">
                    <c:v>75.33</c:v>
                  </c:pt>
                  <c:pt idx="42">
                    <c:v>87.33</c:v>
                  </c:pt>
                  <c:pt idx="43">
                    <c:v>74.33</c:v>
                  </c:pt>
                  <c:pt idx="44">
                    <c:v>71.33</c:v>
                  </c:pt>
                  <c:pt idx="45">
                    <c:v>80.00</c:v>
                  </c:pt>
                  <c:pt idx="46">
                    <c:v>79.33</c:v>
                  </c:pt>
                  <c:pt idx="47">
                    <c:v>67.33</c:v>
                  </c:pt>
                  <c:pt idx="48">
                    <c:v>68.67</c:v>
                  </c:pt>
                  <c:pt idx="49">
                    <c:v>75.33</c:v>
                  </c:pt>
                  <c:pt idx="50">
                    <c:v>50.33</c:v>
                  </c:pt>
                  <c:pt idx="51">
                    <c:v>77.00</c:v>
                  </c:pt>
                  <c:pt idx="52">
                    <c:v>68.67</c:v>
                  </c:pt>
                  <c:pt idx="53">
                    <c:v>72.33</c:v>
                  </c:pt>
                  <c:pt idx="54">
                    <c:v>75.33</c:v>
                  </c:pt>
                  <c:pt idx="55">
                    <c:v>74.00</c:v>
                  </c:pt>
                  <c:pt idx="56">
                    <c:v>65.33</c:v>
                  </c:pt>
                  <c:pt idx="57">
                    <c:v>63.33</c:v>
                  </c:pt>
                  <c:pt idx="58">
                    <c:v>53.00</c:v>
                  </c:pt>
                  <c:pt idx="59">
                    <c:v>71.00</c:v>
                  </c:pt>
                  <c:pt idx="60">
                    <c:v>61.67</c:v>
                  </c:pt>
                  <c:pt idx="61">
                    <c:v>58.33</c:v>
                  </c:pt>
                  <c:pt idx="62">
                    <c:v>68.33</c:v>
                  </c:pt>
                  <c:pt idx="63">
                    <c:v>80.67</c:v>
                  </c:pt>
                  <c:pt idx="64">
                    <c:v>49.67</c:v>
                  </c:pt>
                  <c:pt idx="65">
                    <c:v>83.00</c:v>
                  </c:pt>
                  <c:pt idx="66">
                    <c:v>52.67</c:v>
                  </c:pt>
                  <c:pt idx="67">
                    <c:v>60.33</c:v>
                  </c:pt>
                  <c:pt idx="68">
                    <c:v>53.67</c:v>
                  </c:pt>
                  <c:pt idx="69">
                    <c:v>59.33</c:v>
                  </c:pt>
                  <c:pt idx="70">
                    <c:v>70.33</c:v>
                  </c:pt>
                  <c:pt idx="71">
                    <c:v>75.67</c:v>
                  </c:pt>
                  <c:pt idx="72">
                    <c:v>75.00</c:v>
                  </c:pt>
                  <c:pt idx="73">
                    <c:v>67.67</c:v>
                  </c:pt>
                  <c:pt idx="74">
                    <c:v>60.00</c:v>
                  </c:pt>
                  <c:pt idx="75">
                    <c:v>58.33</c:v>
                  </c:pt>
                  <c:pt idx="76">
                    <c:v>64.33</c:v>
                  </c:pt>
                  <c:pt idx="77">
                    <c:v>73.33</c:v>
                  </c:pt>
                  <c:pt idx="78">
                    <c:v>73.00</c:v>
                  </c:pt>
                  <c:pt idx="79">
                    <c:v>63.67</c:v>
                  </c:pt>
                  <c:pt idx="80">
                    <c:v>56.00</c:v>
                  </c:pt>
                  <c:pt idx="81">
                    <c:v>75.00</c:v>
                  </c:pt>
                  <c:pt idx="82">
                    <c:v>72.67</c:v>
                  </c:pt>
                  <c:pt idx="83">
                    <c:v>57.00</c:v>
                  </c:pt>
                  <c:pt idx="84">
                    <c:v>72.00</c:v>
                  </c:pt>
                  <c:pt idx="85">
                    <c:v>73.00</c:v>
                  </c:pt>
                  <c:pt idx="86">
                    <c:v>64.00</c:v>
                  </c:pt>
                  <c:pt idx="87">
                    <c:v>60.00</c:v>
                  </c:pt>
                  <c:pt idx="88">
                    <c:v>76.00</c:v>
                  </c:pt>
                  <c:pt idx="89">
                    <c:v>74.00</c:v>
                  </c:pt>
                  <c:pt idx="90">
                    <c:v>67.67</c:v>
                  </c:pt>
                  <c:pt idx="91">
                    <c:v>61.00</c:v>
                  </c:pt>
                  <c:pt idx="92">
                    <c:v>66.00</c:v>
                  </c:pt>
                  <c:pt idx="93">
                    <c:v>55.00</c:v>
                  </c:pt>
                  <c:pt idx="94">
                    <c:v>53.67</c:v>
                  </c:pt>
                  <c:pt idx="95">
                    <c:v>80.33</c:v>
                  </c:pt>
                  <c:pt idx="96">
                    <c:v>60.33</c:v>
                  </c:pt>
                  <c:pt idx="97">
                    <c:v>53.67</c:v>
                  </c:pt>
                  <c:pt idx="98">
                    <c:v>76.00</c:v>
                  </c:pt>
                  <c:pt idx="99">
                    <c:v>52.33</c:v>
                  </c:pt>
                  <c:pt idx="100">
                    <c:v>74.00</c:v>
                  </c:pt>
                  <c:pt idx="101">
                    <c:v>74.00</c:v>
                  </c:pt>
                  <c:pt idx="102">
                    <c:v>65.33</c:v>
                  </c:pt>
                  <c:pt idx="103">
                    <c:v>72.67</c:v>
                  </c:pt>
                  <c:pt idx="104">
                    <c:v>43.00</c:v>
                  </c:pt>
                  <c:pt idx="105">
                    <c:v>70.00</c:v>
                  </c:pt>
                  <c:pt idx="106">
                    <c:v>68.33</c:v>
                  </c:pt>
                  <c:pt idx="107">
                    <c:v>73.33</c:v>
                  </c:pt>
                  <c:pt idx="108">
                    <c:v>79.33</c:v>
                  </c:pt>
                </c:lvl>
                <c:lvl>
                  <c:pt idx="0">
                    <c:v>65.33</c:v>
                  </c:pt>
                  <c:pt idx="1">
                    <c:v>73.33</c:v>
                  </c:pt>
                  <c:pt idx="2">
                    <c:v>58.67</c:v>
                  </c:pt>
                  <c:pt idx="3">
                    <c:v>58.33</c:v>
                  </c:pt>
                  <c:pt idx="4">
                    <c:v>63.00</c:v>
                  </c:pt>
                  <c:pt idx="5">
                    <c:v>75.67</c:v>
                  </c:pt>
                  <c:pt idx="6">
                    <c:v>67.67</c:v>
                  </c:pt>
                  <c:pt idx="7">
                    <c:v>71.67</c:v>
                  </c:pt>
                  <c:pt idx="8">
                    <c:v>53.33</c:v>
                  </c:pt>
                  <c:pt idx="9">
                    <c:v>56.00</c:v>
                  </c:pt>
                  <c:pt idx="10">
                    <c:v>77.67</c:v>
                  </c:pt>
                  <c:pt idx="11">
                    <c:v>72.33</c:v>
                  </c:pt>
                  <c:pt idx="12">
                    <c:v>76.00</c:v>
                  </c:pt>
                  <c:pt idx="13">
                    <c:v>57.00</c:v>
                  </c:pt>
                  <c:pt idx="14">
                    <c:v>66.33</c:v>
                  </c:pt>
                  <c:pt idx="15">
                    <c:v>76.00</c:v>
                  </c:pt>
                  <c:pt idx="16">
                    <c:v>58.67</c:v>
                  </c:pt>
                  <c:pt idx="17">
                    <c:v>78.00</c:v>
                  </c:pt>
                  <c:pt idx="18">
                    <c:v>55.33</c:v>
                  </c:pt>
                  <c:pt idx="19">
                    <c:v>71.33</c:v>
                  </c:pt>
                  <c:pt idx="20">
                    <c:v>67.33</c:v>
                  </c:pt>
                  <c:pt idx="21">
                    <c:v>71.67</c:v>
                  </c:pt>
                  <c:pt idx="22">
                    <c:v>81.67</c:v>
                  </c:pt>
                  <c:pt idx="23">
                    <c:v>78.33</c:v>
                  </c:pt>
                  <c:pt idx="24">
                    <c:v>78.00</c:v>
                  </c:pt>
                  <c:pt idx="25">
                    <c:v>64.67</c:v>
                  </c:pt>
                  <c:pt idx="26">
                    <c:v>77.67</c:v>
                  </c:pt>
                  <c:pt idx="27">
                    <c:v>67.67</c:v>
                  </c:pt>
                  <c:pt idx="28">
                    <c:v>78.33</c:v>
                  </c:pt>
                  <c:pt idx="29">
                    <c:v>59.67</c:v>
                  </c:pt>
                  <c:pt idx="30">
                    <c:v>53.33</c:v>
                  </c:pt>
                  <c:pt idx="31">
                    <c:v>64.00</c:v>
                  </c:pt>
                  <c:pt idx="32">
                    <c:v>77.33</c:v>
                  </c:pt>
                  <c:pt idx="33">
                    <c:v>70.67</c:v>
                  </c:pt>
                  <c:pt idx="34">
                    <c:v>63.00</c:v>
                  </c:pt>
                  <c:pt idx="35">
                    <c:v>64.33</c:v>
                  </c:pt>
                  <c:pt idx="36">
                    <c:v>73.00</c:v>
                  </c:pt>
                  <c:pt idx="37">
                    <c:v>70.00</c:v>
                  </c:pt>
                  <c:pt idx="38">
                    <c:v>54.33</c:v>
                  </c:pt>
                  <c:pt idx="39">
                    <c:v>62.00</c:v>
                  </c:pt>
                  <c:pt idx="40">
                    <c:v>81.33</c:v>
                  </c:pt>
                  <c:pt idx="41">
                    <c:v>75.00</c:v>
                  </c:pt>
                  <c:pt idx="42">
                    <c:v>87.00</c:v>
                  </c:pt>
                  <c:pt idx="43">
                    <c:v>75.33</c:v>
                  </c:pt>
                  <c:pt idx="44">
                    <c:v>73.00</c:v>
                  </c:pt>
                  <c:pt idx="45">
                    <c:v>79.67</c:v>
                  </c:pt>
                  <c:pt idx="46">
                    <c:v>76.67</c:v>
                  </c:pt>
                  <c:pt idx="47">
                    <c:v>67.00</c:v>
                  </c:pt>
                  <c:pt idx="48">
                    <c:v>69.00</c:v>
                  </c:pt>
                  <c:pt idx="49">
                    <c:v>76.00</c:v>
                  </c:pt>
                  <c:pt idx="50">
                    <c:v>52.00</c:v>
                  </c:pt>
                  <c:pt idx="51">
                    <c:v>76.33</c:v>
                  </c:pt>
                  <c:pt idx="52">
                    <c:v>69.00</c:v>
                  </c:pt>
                  <c:pt idx="53">
                    <c:v>72.00</c:v>
                  </c:pt>
                  <c:pt idx="54">
                    <c:v>73.67</c:v>
                  </c:pt>
                  <c:pt idx="55">
                    <c:v>74.67</c:v>
                  </c:pt>
                  <c:pt idx="56">
                    <c:v>66.67</c:v>
                  </c:pt>
                  <c:pt idx="57">
                    <c:v>62.67</c:v>
                  </c:pt>
                  <c:pt idx="58">
                    <c:v>50.33</c:v>
                  </c:pt>
                  <c:pt idx="59">
                    <c:v>71.33</c:v>
                  </c:pt>
                  <c:pt idx="60">
                    <c:v>63.33</c:v>
                  </c:pt>
                  <c:pt idx="61">
                    <c:v>57.67</c:v>
                  </c:pt>
                  <c:pt idx="62">
                    <c:v>69.67</c:v>
                  </c:pt>
                  <c:pt idx="63">
                    <c:v>82.00</c:v>
                  </c:pt>
                  <c:pt idx="64">
                    <c:v>49.67</c:v>
                  </c:pt>
                  <c:pt idx="65">
                    <c:v>83.33</c:v>
                  </c:pt>
                  <c:pt idx="66">
                    <c:v>50.00</c:v>
                  </c:pt>
                  <c:pt idx="67">
                    <c:v>62.00</c:v>
                  </c:pt>
                  <c:pt idx="68">
                    <c:v>54.67</c:v>
                  </c:pt>
                  <c:pt idx="69">
                    <c:v>59.33</c:v>
                  </c:pt>
                  <c:pt idx="70">
                    <c:v>71.67</c:v>
                  </c:pt>
                  <c:pt idx="71">
                    <c:v>76.33</c:v>
                  </c:pt>
                  <c:pt idx="72">
                    <c:v>76.00</c:v>
                  </c:pt>
                  <c:pt idx="73">
                    <c:v>68.33</c:v>
                  </c:pt>
                  <c:pt idx="74">
                    <c:v>59.33</c:v>
                  </c:pt>
                  <c:pt idx="75">
                    <c:v>59.67</c:v>
                  </c:pt>
                  <c:pt idx="76">
                    <c:v>65.33</c:v>
                  </c:pt>
                  <c:pt idx="77">
                    <c:v>75.00</c:v>
                  </c:pt>
                  <c:pt idx="78">
                    <c:v>72.00</c:v>
                  </c:pt>
                  <c:pt idx="79">
                    <c:v>62.33</c:v>
                  </c:pt>
                  <c:pt idx="80">
                    <c:v>56.67</c:v>
                  </c:pt>
                  <c:pt idx="81">
                    <c:v>74.67</c:v>
                  </c:pt>
                  <c:pt idx="82">
                    <c:v>72.67</c:v>
                  </c:pt>
                  <c:pt idx="83">
                    <c:v>56.67</c:v>
                  </c:pt>
                  <c:pt idx="84">
                    <c:v>71.67</c:v>
                  </c:pt>
                  <c:pt idx="85">
                    <c:v>74.33</c:v>
                  </c:pt>
                  <c:pt idx="86">
                    <c:v>65.33</c:v>
                  </c:pt>
                  <c:pt idx="87">
                    <c:v>61.00</c:v>
                  </c:pt>
                  <c:pt idx="88">
                    <c:v>77.00</c:v>
                  </c:pt>
                  <c:pt idx="89">
                    <c:v>74.00</c:v>
                  </c:pt>
                  <c:pt idx="90">
                    <c:v>66.00</c:v>
                  </c:pt>
                  <c:pt idx="91">
                    <c:v>60.67</c:v>
                  </c:pt>
                  <c:pt idx="92">
                    <c:v>67.33</c:v>
                  </c:pt>
                  <c:pt idx="93">
                    <c:v>57.00</c:v>
                  </c:pt>
                  <c:pt idx="94">
                    <c:v>54.00</c:v>
                  </c:pt>
                  <c:pt idx="95">
                    <c:v>81.00</c:v>
                  </c:pt>
                  <c:pt idx="96">
                    <c:v>63.33</c:v>
                  </c:pt>
                  <c:pt idx="97">
                    <c:v>54.00</c:v>
                  </c:pt>
                  <c:pt idx="98">
                    <c:v>76.33</c:v>
                  </c:pt>
                  <c:pt idx="99">
                    <c:v>53.00</c:v>
                  </c:pt>
                  <c:pt idx="100">
                    <c:v>75.00</c:v>
                  </c:pt>
                  <c:pt idx="101">
                    <c:v>73.00</c:v>
                  </c:pt>
                  <c:pt idx="102">
                    <c:v>67.00</c:v>
                  </c:pt>
                  <c:pt idx="103">
                    <c:v>73.33</c:v>
                  </c:pt>
                  <c:pt idx="104">
                    <c:v>44.33</c:v>
                  </c:pt>
                  <c:pt idx="105">
                    <c:v>70.00</c:v>
                  </c:pt>
                  <c:pt idx="106">
                    <c:v>70.33</c:v>
                  </c:pt>
                  <c:pt idx="107">
                    <c:v>74.00</c:v>
                  </c:pt>
                  <c:pt idx="108">
                    <c:v>79.33</c:v>
                  </c:pt>
                </c:lvl>
                <c:lvl>
                  <c:pt idx="0">
                    <c:v>63</c:v>
                  </c:pt>
                  <c:pt idx="1">
                    <c:v>73</c:v>
                  </c:pt>
                  <c:pt idx="2">
                    <c:v>58</c:v>
                  </c:pt>
                  <c:pt idx="3">
                    <c:v>55</c:v>
                  </c:pt>
                  <c:pt idx="4">
                    <c:v>60</c:v>
                  </c:pt>
                  <c:pt idx="5">
                    <c:v>78</c:v>
                  </c:pt>
                  <c:pt idx="6">
                    <c:v>69</c:v>
                  </c:pt>
                  <c:pt idx="7">
                    <c:v>71</c:v>
                  </c:pt>
                  <c:pt idx="8">
                    <c:v>52</c:v>
                  </c:pt>
                  <c:pt idx="9">
                    <c:v>56</c:v>
                  </c:pt>
                  <c:pt idx="10">
                    <c:v>75</c:v>
                  </c:pt>
                  <c:pt idx="11">
                    <c:v>69</c:v>
                  </c:pt>
                  <c:pt idx="12">
                    <c:v>74</c:v>
                  </c:pt>
                  <c:pt idx="13">
                    <c:v>54</c:v>
                  </c:pt>
                  <c:pt idx="14">
                    <c:v>63</c:v>
                  </c:pt>
                  <c:pt idx="15">
                    <c:v>72</c:v>
                  </c:pt>
                  <c:pt idx="16">
                    <c:v>57</c:v>
                  </c:pt>
                  <c:pt idx="17">
                    <c:v>83</c:v>
                  </c:pt>
                  <c:pt idx="18">
                    <c:v>54</c:v>
                  </c:pt>
                  <c:pt idx="19">
                    <c:v>70</c:v>
                  </c:pt>
                  <c:pt idx="20">
                    <c:v>66</c:v>
                  </c:pt>
                  <c:pt idx="21">
                    <c:v>74</c:v>
                  </c:pt>
                  <c:pt idx="22">
                    <c:v>81</c:v>
                  </c:pt>
                  <c:pt idx="23">
                    <c:v>76</c:v>
                  </c:pt>
                  <c:pt idx="24">
                    <c:v>78</c:v>
                  </c:pt>
                  <c:pt idx="25">
                    <c:v>63</c:v>
                  </c:pt>
                  <c:pt idx="26">
                    <c:v>77</c:v>
                  </c:pt>
                  <c:pt idx="27">
                    <c:v>65</c:v>
                  </c:pt>
                  <c:pt idx="28">
                    <c:v>74</c:v>
                  </c:pt>
                  <c:pt idx="29">
                    <c:v>57</c:v>
                  </c:pt>
                  <c:pt idx="30">
                    <c:v>51</c:v>
                  </c:pt>
                  <c:pt idx="31">
                    <c:v>61</c:v>
                  </c:pt>
                  <c:pt idx="32">
                    <c:v>76</c:v>
                  </c:pt>
                  <c:pt idx="33">
                    <c:v>69</c:v>
                  </c:pt>
                  <c:pt idx="34">
                    <c:v>62</c:v>
                  </c:pt>
                  <c:pt idx="35">
                    <c:v>62</c:v>
                  </c:pt>
                  <c:pt idx="36">
                    <c:v>74</c:v>
                  </c:pt>
                  <c:pt idx="37">
                    <c:v>67</c:v>
                  </c:pt>
                  <c:pt idx="38">
                    <c:v>61</c:v>
                  </c:pt>
                  <c:pt idx="39">
                    <c:v>59</c:v>
                  </c:pt>
                  <c:pt idx="40">
                    <c:v>79</c:v>
                  </c:pt>
                  <c:pt idx="41">
                    <c:v>76</c:v>
                  </c:pt>
                  <c:pt idx="42">
                    <c:v>86</c:v>
                  </c:pt>
                  <c:pt idx="43">
                    <c:v>73</c:v>
                  </c:pt>
                  <c:pt idx="44">
                    <c:v>70</c:v>
                  </c:pt>
                  <c:pt idx="45">
                    <c:v>80</c:v>
                  </c:pt>
                  <c:pt idx="46">
                    <c:v>81</c:v>
                  </c:pt>
                  <c:pt idx="47">
                    <c:v>67</c:v>
                  </c:pt>
                  <c:pt idx="48">
                    <c:v>68</c:v>
                  </c:pt>
                  <c:pt idx="49">
                    <c:v>75</c:v>
                  </c:pt>
                  <c:pt idx="50">
                    <c:v>49</c:v>
                  </c:pt>
                  <c:pt idx="51">
                    <c:v>78</c:v>
                  </c:pt>
                  <c:pt idx="52">
                    <c:v>67</c:v>
                  </c:pt>
                  <c:pt idx="53">
                    <c:v>73</c:v>
                  </c:pt>
                  <c:pt idx="54">
                    <c:v>76</c:v>
                  </c:pt>
                  <c:pt idx="55">
                    <c:v>73</c:v>
                  </c:pt>
                  <c:pt idx="56">
                    <c:v>64</c:v>
                  </c:pt>
                  <c:pt idx="57">
                    <c:v>64</c:v>
                  </c:pt>
                  <c:pt idx="58">
                    <c:v>53</c:v>
                  </c:pt>
                  <c:pt idx="59">
                    <c:v>70</c:v>
                  </c:pt>
                  <c:pt idx="60">
                    <c:v>60</c:v>
                  </c:pt>
                  <c:pt idx="61">
                    <c:v>59</c:v>
                  </c:pt>
                  <c:pt idx="62">
                    <c:v>67</c:v>
                  </c:pt>
                  <c:pt idx="63">
                    <c:v>80</c:v>
                  </c:pt>
                  <c:pt idx="64">
                    <c:v>49</c:v>
                  </c:pt>
                  <c:pt idx="65">
                    <c:v>82</c:v>
                  </c:pt>
                  <c:pt idx="66">
                    <c:v>51</c:v>
                  </c:pt>
                  <c:pt idx="67">
                    <c:v>59</c:v>
                  </c:pt>
                  <c:pt idx="68">
                    <c:v>52</c:v>
                  </c:pt>
                  <c:pt idx="69">
                    <c:v>59</c:v>
                  </c:pt>
                  <c:pt idx="70">
                    <c:v>69</c:v>
                  </c:pt>
                  <c:pt idx="71">
                    <c:v>75</c:v>
                  </c:pt>
                  <c:pt idx="72">
                    <c:v>74</c:v>
                  </c:pt>
                  <c:pt idx="73">
                    <c:v>67</c:v>
                  </c:pt>
                  <c:pt idx="74">
                    <c:v>59</c:v>
                  </c:pt>
                  <c:pt idx="75">
                    <c:v>57</c:v>
                  </c:pt>
                  <c:pt idx="76">
                    <c:v>63</c:v>
                  </c:pt>
                  <c:pt idx="77">
                    <c:v>72</c:v>
                  </c:pt>
                  <c:pt idx="78">
                    <c:v>73</c:v>
                  </c:pt>
                  <c:pt idx="79">
                    <c:v>65</c:v>
                  </c:pt>
                  <c:pt idx="80">
                    <c:v>55</c:v>
                  </c:pt>
                  <c:pt idx="81">
                    <c:v>75</c:v>
                  </c:pt>
                  <c:pt idx="82">
                    <c:v>71</c:v>
                  </c:pt>
                  <c:pt idx="83">
                    <c:v>56</c:v>
                  </c:pt>
                  <c:pt idx="84">
                    <c:v>71</c:v>
                  </c:pt>
                  <c:pt idx="85">
                    <c:v>72</c:v>
                  </c:pt>
                  <c:pt idx="86">
                    <c:v>63</c:v>
                  </c:pt>
                  <c:pt idx="87">
                    <c:v>59</c:v>
                  </c:pt>
                  <c:pt idx="88">
                    <c:v>75</c:v>
                  </c:pt>
                  <c:pt idx="89">
                    <c:v>73</c:v>
                  </c:pt>
                  <c:pt idx="90">
                    <c:v>71</c:v>
                  </c:pt>
                  <c:pt idx="91">
                    <c:v>62</c:v>
                  </c:pt>
                  <c:pt idx="92">
                    <c:v>65</c:v>
                  </c:pt>
                  <c:pt idx="93">
                    <c:v>53</c:v>
                  </c:pt>
                  <c:pt idx="94">
                    <c:v>54</c:v>
                  </c:pt>
                  <c:pt idx="95">
                    <c:v>79</c:v>
                  </c:pt>
                  <c:pt idx="96">
                    <c:v>59</c:v>
                  </c:pt>
                  <c:pt idx="97">
                    <c:v>52</c:v>
                  </c:pt>
                  <c:pt idx="98">
                    <c:v>75</c:v>
                  </c:pt>
                  <c:pt idx="99">
                    <c:v>50</c:v>
                  </c:pt>
                  <c:pt idx="100">
                    <c:v>74</c:v>
                  </c:pt>
                  <c:pt idx="101">
                    <c:v>74</c:v>
                  </c:pt>
                  <c:pt idx="102">
                    <c:v>64</c:v>
                  </c:pt>
                  <c:pt idx="103">
                    <c:v>72</c:v>
                  </c:pt>
                  <c:pt idx="104">
                    <c:v>42</c:v>
                  </c:pt>
                  <c:pt idx="105">
                    <c:v>70</c:v>
                  </c:pt>
                  <c:pt idx="106">
                    <c:v>67</c:v>
                  </c:pt>
                  <c:pt idx="107">
                    <c:v>72</c:v>
                  </c:pt>
                  <c:pt idx="108">
                    <c:v>79</c:v>
                  </c:pt>
                </c:lvl>
                <c:lvl>
                  <c:pt idx="0">
                    <c:v>64</c:v>
                  </c:pt>
                  <c:pt idx="1">
                    <c:v>74</c:v>
                  </c:pt>
                  <c:pt idx="2">
                    <c:v>59</c:v>
                  </c:pt>
                  <c:pt idx="3">
                    <c:v>56</c:v>
                  </c:pt>
                  <c:pt idx="4">
                    <c:v>61</c:v>
                  </c:pt>
                  <c:pt idx="5">
                    <c:v>79</c:v>
                  </c:pt>
                  <c:pt idx="6">
                    <c:v>70</c:v>
                  </c:pt>
                  <c:pt idx="7">
                    <c:v>72</c:v>
                  </c:pt>
                  <c:pt idx="8">
                    <c:v>53</c:v>
                  </c:pt>
                  <c:pt idx="9">
                    <c:v>57</c:v>
                  </c:pt>
                  <c:pt idx="10">
                    <c:v>76</c:v>
                  </c:pt>
                  <c:pt idx="11">
                    <c:v>71</c:v>
                  </c:pt>
                  <c:pt idx="12">
                    <c:v>75</c:v>
                  </c:pt>
                  <c:pt idx="13">
                    <c:v>55</c:v>
                  </c:pt>
                  <c:pt idx="14">
                    <c:v>64</c:v>
                  </c:pt>
                  <c:pt idx="15">
                    <c:v>73</c:v>
                  </c:pt>
                  <c:pt idx="16">
                    <c:v>58</c:v>
                  </c:pt>
                  <c:pt idx="17">
                    <c:v>84</c:v>
                  </c:pt>
                  <c:pt idx="18">
                    <c:v>56</c:v>
                  </c:pt>
                  <c:pt idx="19">
                    <c:v>71</c:v>
                  </c:pt>
                  <c:pt idx="20">
                    <c:v>67</c:v>
                  </c:pt>
                  <c:pt idx="21">
                    <c:v>75</c:v>
                  </c:pt>
                  <c:pt idx="22">
                    <c:v>82</c:v>
                  </c:pt>
                  <c:pt idx="23">
                    <c:v>77</c:v>
                  </c:pt>
                  <c:pt idx="24">
                    <c:v>79</c:v>
                  </c:pt>
                  <c:pt idx="25">
                    <c:v>64</c:v>
                  </c:pt>
                  <c:pt idx="26">
                    <c:v>77</c:v>
                  </c:pt>
                  <c:pt idx="27">
                    <c:v>66</c:v>
                  </c:pt>
                  <c:pt idx="28">
                    <c:v>75</c:v>
                  </c:pt>
                  <c:pt idx="29">
                    <c:v>58</c:v>
                  </c:pt>
                  <c:pt idx="30">
                    <c:v>52</c:v>
                  </c:pt>
                  <c:pt idx="31">
                    <c:v>63</c:v>
                  </c:pt>
                  <c:pt idx="32">
                    <c:v>77</c:v>
                  </c:pt>
                  <c:pt idx="33">
                    <c:v>71</c:v>
                  </c:pt>
                  <c:pt idx="34">
                    <c:v>64</c:v>
                  </c:pt>
                  <c:pt idx="35">
                    <c:v>63</c:v>
                  </c:pt>
                  <c:pt idx="36">
                    <c:v>76</c:v>
                  </c:pt>
                  <c:pt idx="37">
                    <c:v>68</c:v>
                  </c:pt>
                  <c:pt idx="38">
                    <c:v>63</c:v>
                  </c:pt>
                  <c:pt idx="39">
                    <c:v>60</c:v>
                  </c:pt>
                  <c:pt idx="40">
                    <c:v>81</c:v>
                  </c:pt>
                  <c:pt idx="41">
                    <c:v>77</c:v>
                  </c:pt>
                  <c:pt idx="42">
                    <c:v>87</c:v>
                  </c:pt>
                  <c:pt idx="43">
                    <c:v>74</c:v>
                  </c:pt>
                  <c:pt idx="44">
                    <c:v>71</c:v>
                  </c:pt>
                  <c:pt idx="45">
                    <c:v>81</c:v>
                  </c:pt>
                  <c:pt idx="46">
                    <c:v>82</c:v>
                  </c:pt>
                  <c:pt idx="47">
                    <c:v>68</c:v>
                  </c:pt>
                  <c:pt idx="48">
                    <c:v>69</c:v>
                  </c:pt>
                  <c:pt idx="49">
                    <c:v>75</c:v>
                  </c:pt>
                  <c:pt idx="50">
                    <c:v>50</c:v>
                  </c:pt>
                  <c:pt idx="51">
                    <c:v>79</c:v>
                  </c:pt>
                  <c:pt idx="52">
                    <c:v>68</c:v>
                  </c:pt>
                  <c:pt idx="53">
                    <c:v>74</c:v>
                  </c:pt>
                  <c:pt idx="54">
                    <c:v>74</c:v>
                  </c:pt>
                  <c:pt idx="55">
                    <c:v>74</c:v>
                  </c:pt>
                  <c:pt idx="56">
                    <c:v>65</c:v>
                  </c:pt>
                  <c:pt idx="57">
                    <c:v>65</c:v>
                  </c:pt>
                  <c:pt idx="58">
                    <c:v>54</c:v>
                  </c:pt>
                  <c:pt idx="59">
                    <c:v>71</c:v>
                  </c:pt>
                  <c:pt idx="60">
                    <c:v>62</c:v>
                  </c:pt>
                  <c:pt idx="61">
                    <c:v>60</c:v>
                  </c:pt>
                  <c:pt idx="62">
                    <c:v>68</c:v>
                  </c:pt>
                  <c:pt idx="63">
                    <c:v>80</c:v>
                  </c:pt>
                  <c:pt idx="64">
                    <c:v>50</c:v>
                  </c:pt>
                  <c:pt idx="65">
                    <c:v>83</c:v>
                  </c:pt>
                  <c:pt idx="66">
                    <c:v>52</c:v>
                  </c:pt>
                  <c:pt idx="67">
                    <c:v>60</c:v>
                  </c:pt>
                  <c:pt idx="68">
                    <c:v>53</c:v>
                  </c:pt>
                  <c:pt idx="69">
                    <c:v>60</c:v>
                  </c:pt>
                  <c:pt idx="70">
                    <c:v>71</c:v>
                  </c:pt>
                  <c:pt idx="71">
                    <c:v>76</c:v>
                  </c:pt>
                  <c:pt idx="72">
                    <c:v>75</c:v>
                  </c:pt>
                  <c:pt idx="73">
                    <c:v>68</c:v>
                  </c:pt>
                  <c:pt idx="74">
                    <c:v>60</c:v>
                  </c:pt>
                  <c:pt idx="75">
                    <c:v>59</c:v>
                  </c:pt>
                  <c:pt idx="76">
                    <c:v>64</c:v>
                  </c:pt>
                  <c:pt idx="77">
                    <c:v>73</c:v>
                  </c:pt>
                  <c:pt idx="78">
                    <c:v>74</c:v>
                  </c:pt>
                  <c:pt idx="79">
                    <c:v>63</c:v>
                  </c:pt>
                  <c:pt idx="80">
                    <c:v>56</c:v>
                  </c:pt>
                  <c:pt idx="81">
                    <c:v>75</c:v>
                  </c:pt>
                  <c:pt idx="82">
                    <c:v>74</c:v>
                  </c:pt>
                  <c:pt idx="83">
                    <c:v>57</c:v>
                  </c:pt>
                  <c:pt idx="84">
                    <c:v>72</c:v>
                  </c:pt>
                  <c:pt idx="85">
                    <c:v>73</c:v>
                  </c:pt>
                  <c:pt idx="86">
                    <c:v>64</c:v>
                  </c:pt>
                  <c:pt idx="87">
                    <c:v>60</c:v>
                  </c:pt>
                  <c:pt idx="88">
                    <c:v>76</c:v>
                  </c:pt>
                  <c:pt idx="89">
                    <c:v>74</c:v>
                  </c:pt>
                  <c:pt idx="90">
                    <c:v>67</c:v>
                  </c:pt>
                  <c:pt idx="91">
                    <c:v>61</c:v>
                  </c:pt>
                  <c:pt idx="92">
                    <c:v>66</c:v>
                  </c:pt>
                  <c:pt idx="93">
                    <c:v>55</c:v>
                  </c:pt>
                  <c:pt idx="94">
                    <c:v>55</c:v>
                  </c:pt>
                  <c:pt idx="95">
                    <c:v>80</c:v>
                  </c:pt>
                  <c:pt idx="96">
                    <c:v>60</c:v>
                  </c:pt>
                  <c:pt idx="97">
                    <c:v>54</c:v>
                  </c:pt>
                  <c:pt idx="98">
                    <c:v>76</c:v>
                  </c:pt>
                  <c:pt idx="99">
                    <c:v>52</c:v>
                  </c:pt>
                  <c:pt idx="100">
                    <c:v>74</c:v>
                  </c:pt>
                  <c:pt idx="101">
                    <c:v>75</c:v>
                  </c:pt>
                  <c:pt idx="102">
                    <c:v>65</c:v>
                  </c:pt>
                  <c:pt idx="103">
                    <c:v>74</c:v>
                  </c:pt>
                  <c:pt idx="104">
                    <c:v>44</c:v>
                  </c:pt>
                  <c:pt idx="105">
                    <c:v>71</c:v>
                  </c:pt>
                  <c:pt idx="106">
                    <c:v>68</c:v>
                  </c:pt>
                  <c:pt idx="107">
                    <c:v>73</c:v>
                  </c:pt>
                  <c:pt idx="108">
                    <c:v>80</c:v>
                  </c:pt>
                </c:lvl>
                <c:lvl>
                  <c:pt idx="0">
                    <c:v>65</c:v>
                  </c:pt>
                  <c:pt idx="1">
                    <c:v>72</c:v>
                  </c:pt>
                  <c:pt idx="2">
                    <c:v>58</c:v>
                  </c:pt>
                  <c:pt idx="3">
                    <c:v>59</c:v>
                  </c:pt>
                  <c:pt idx="4">
                    <c:v>63</c:v>
                  </c:pt>
                  <c:pt idx="5">
                    <c:v>73</c:v>
                  </c:pt>
                  <c:pt idx="6">
                    <c:v>68</c:v>
                  </c:pt>
                  <c:pt idx="7">
                    <c:v>73</c:v>
                  </c:pt>
                  <c:pt idx="8">
                    <c:v>55</c:v>
                  </c:pt>
                  <c:pt idx="9">
                    <c:v>55</c:v>
                  </c:pt>
                  <c:pt idx="10">
                    <c:v>78</c:v>
                  </c:pt>
                  <c:pt idx="11">
                    <c:v>72</c:v>
                  </c:pt>
                  <c:pt idx="12">
                    <c:v>76</c:v>
                  </c:pt>
                  <c:pt idx="13">
                    <c:v>57</c:v>
                  </c:pt>
                  <c:pt idx="14">
                    <c:v>66</c:v>
                  </c:pt>
                  <c:pt idx="15">
                    <c:v>77</c:v>
                  </c:pt>
                  <c:pt idx="16">
                    <c:v>58</c:v>
                  </c:pt>
                  <c:pt idx="17">
                    <c:v>74</c:v>
                  </c:pt>
                  <c:pt idx="18">
                    <c:v>55</c:v>
                  </c:pt>
                  <c:pt idx="19">
                    <c:v>73</c:v>
                  </c:pt>
                  <c:pt idx="20">
                    <c:v>69</c:v>
                  </c:pt>
                  <c:pt idx="21">
                    <c:v>74</c:v>
                  </c:pt>
                  <c:pt idx="22">
                    <c:v>81</c:v>
                  </c:pt>
                  <c:pt idx="23">
                    <c:v>79</c:v>
                  </c:pt>
                  <c:pt idx="24">
                    <c:v>78</c:v>
                  </c:pt>
                  <c:pt idx="25">
                    <c:v>67</c:v>
                  </c:pt>
                  <c:pt idx="26">
                    <c:v>78</c:v>
                  </c:pt>
                  <c:pt idx="27">
                    <c:v>68</c:v>
                  </c:pt>
                  <c:pt idx="28">
                    <c:v>79</c:v>
                  </c:pt>
                  <c:pt idx="29">
                    <c:v>60</c:v>
                  </c:pt>
                  <c:pt idx="30">
                    <c:v>53</c:v>
                  </c:pt>
                  <c:pt idx="31">
                    <c:v>65</c:v>
                  </c:pt>
                  <c:pt idx="32">
                    <c:v>78</c:v>
                  </c:pt>
                  <c:pt idx="33">
                    <c:v>70</c:v>
                  </c:pt>
                  <c:pt idx="34">
                    <c:v>64</c:v>
                  </c:pt>
                  <c:pt idx="35">
                    <c:v>64</c:v>
                  </c:pt>
                  <c:pt idx="36">
                    <c:v>73</c:v>
                  </c:pt>
                  <c:pt idx="37">
                    <c:v>70</c:v>
                  </c:pt>
                  <c:pt idx="38">
                    <c:v>52</c:v>
                  </c:pt>
                  <c:pt idx="39">
                    <c:v>62</c:v>
                  </c:pt>
                  <c:pt idx="40">
                    <c:v>83</c:v>
                  </c:pt>
                  <c:pt idx="41">
                    <c:v>73</c:v>
                  </c:pt>
                  <c:pt idx="42">
                    <c:v>89</c:v>
                  </c:pt>
                  <c:pt idx="43">
                    <c:v>76</c:v>
                  </c:pt>
                  <c:pt idx="44">
                    <c:v>73</c:v>
                  </c:pt>
                  <c:pt idx="45">
                    <c:v>79</c:v>
                  </c:pt>
                  <c:pt idx="46">
                    <c:v>75</c:v>
                  </c:pt>
                  <c:pt idx="47">
                    <c:v>67</c:v>
                  </c:pt>
                  <c:pt idx="48">
                    <c:v>69</c:v>
                  </c:pt>
                  <c:pt idx="49">
                    <c:v>76</c:v>
                  </c:pt>
                  <c:pt idx="50">
                    <c:v>52</c:v>
                  </c:pt>
                  <c:pt idx="51">
                    <c:v>74</c:v>
                  </c:pt>
                  <c:pt idx="52">
                    <c:v>71</c:v>
                  </c:pt>
                  <c:pt idx="53">
                    <c:v>70</c:v>
                  </c:pt>
                  <c:pt idx="54">
                    <c:v>76</c:v>
                  </c:pt>
                  <c:pt idx="55">
                    <c:v>75</c:v>
                  </c:pt>
                  <c:pt idx="56">
                    <c:v>67</c:v>
                  </c:pt>
                  <c:pt idx="57">
                    <c:v>61</c:v>
                  </c:pt>
                  <c:pt idx="58">
                    <c:v>52</c:v>
                  </c:pt>
                  <c:pt idx="59">
                    <c:v>72</c:v>
                  </c:pt>
                  <c:pt idx="60">
                    <c:v>63</c:v>
                  </c:pt>
                  <c:pt idx="61">
                    <c:v>56</c:v>
                  </c:pt>
                  <c:pt idx="62">
                    <c:v>70</c:v>
                  </c:pt>
                  <c:pt idx="63">
                    <c:v>82</c:v>
                  </c:pt>
                  <c:pt idx="64">
                    <c:v>50</c:v>
                  </c:pt>
                  <c:pt idx="65">
                    <c:v>84</c:v>
                  </c:pt>
                  <c:pt idx="66">
                    <c:v>55</c:v>
                  </c:pt>
                  <c:pt idx="67">
                    <c:v>62</c:v>
                  </c:pt>
                  <c:pt idx="68">
                    <c:v>56</c:v>
                  </c:pt>
                  <c:pt idx="69">
                    <c:v>59</c:v>
                  </c:pt>
                  <c:pt idx="70">
                    <c:v>71</c:v>
                  </c:pt>
                  <c:pt idx="71">
                    <c:v>76</c:v>
                  </c:pt>
                  <c:pt idx="72">
                    <c:v>76</c:v>
                  </c:pt>
                  <c:pt idx="73">
                    <c:v>68</c:v>
                  </c:pt>
                  <c:pt idx="74">
                    <c:v>61</c:v>
                  </c:pt>
                  <c:pt idx="75">
                    <c:v>59</c:v>
                  </c:pt>
                  <c:pt idx="76">
                    <c:v>66</c:v>
                  </c:pt>
                  <c:pt idx="77">
                    <c:v>75</c:v>
                  </c:pt>
                  <c:pt idx="78">
                    <c:v>72</c:v>
                  </c:pt>
                  <c:pt idx="79">
                    <c:v>63</c:v>
                  </c:pt>
                  <c:pt idx="80">
                    <c:v>57</c:v>
                  </c:pt>
                  <c:pt idx="81">
                    <c:v>75</c:v>
                  </c:pt>
                  <c:pt idx="82">
                    <c:v>73</c:v>
                  </c:pt>
                  <c:pt idx="83">
                    <c:v>58</c:v>
                  </c:pt>
                  <c:pt idx="84">
                    <c:v>73</c:v>
                  </c:pt>
                  <c:pt idx="85">
                    <c:v>74</c:v>
                  </c:pt>
                  <c:pt idx="86">
                    <c:v>65</c:v>
                  </c:pt>
                  <c:pt idx="87">
                    <c:v>61</c:v>
                  </c:pt>
                  <c:pt idx="88">
                    <c:v>77</c:v>
                  </c:pt>
                  <c:pt idx="89">
                    <c:v>75</c:v>
                  </c:pt>
                  <c:pt idx="90">
                    <c:v>65</c:v>
                  </c:pt>
                  <c:pt idx="91">
                    <c:v>60</c:v>
                  </c:pt>
                  <c:pt idx="92">
                    <c:v>67</c:v>
                  </c:pt>
                  <c:pt idx="93">
                    <c:v>57</c:v>
                  </c:pt>
                  <c:pt idx="94">
                    <c:v>52</c:v>
                  </c:pt>
                  <c:pt idx="95">
                    <c:v>82</c:v>
                  </c:pt>
                  <c:pt idx="96">
                    <c:v>62</c:v>
                  </c:pt>
                  <c:pt idx="97">
                    <c:v>55</c:v>
                  </c:pt>
                  <c:pt idx="98">
                    <c:v>77</c:v>
                  </c:pt>
                  <c:pt idx="99">
                    <c:v>55</c:v>
                  </c:pt>
                  <c:pt idx="100">
                    <c:v>74</c:v>
                  </c:pt>
                  <c:pt idx="101">
                    <c:v>73</c:v>
                  </c:pt>
                  <c:pt idx="102">
                    <c:v>67</c:v>
                  </c:pt>
                  <c:pt idx="103">
                    <c:v>72</c:v>
                  </c:pt>
                  <c:pt idx="104">
                    <c:v>43</c:v>
                  </c:pt>
                  <c:pt idx="105">
                    <c:v>69</c:v>
                  </c:pt>
                  <c:pt idx="106">
                    <c:v>70</c:v>
                  </c:pt>
                  <c:pt idx="107">
                    <c:v>75</c:v>
                  </c:pt>
                  <c:pt idx="108">
                    <c:v>79</c:v>
                  </c:pt>
                </c:lvl>
                <c:lvl>
                  <c:pt idx="0">
                    <c:v>67</c:v>
                  </c:pt>
                  <c:pt idx="1">
                    <c:v>74</c:v>
                  </c:pt>
                  <c:pt idx="2">
                    <c:v>59</c:v>
                  </c:pt>
                  <c:pt idx="3">
                    <c:v>60</c:v>
                  </c:pt>
                  <c:pt idx="4">
                    <c:v>65</c:v>
                  </c:pt>
                  <c:pt idx="5">
                    <c:v>75</c:v>
                  </c:pt>
                  <c:pt idx="6">
                    <c:v>65</c:v>
                  </c:pt>
                  <c:pt idx="7">
                    <c:v>70</c:v>
                  </c:pt>
                  <c:pt idx="8">
                    <c:v>52</c:v>
                  </c:pt>
                  <c:pt idx="9">
                    <c:v>56</c:v>
                  </c:pt>
                  <c:pt idx="10">
                    <c:v>79</c:v>
                  </c:pt>
                  <c:pt idx="11">
                    <c:v>74</c:v>
                  </c:pt>
                  <c:pt idx="12">
                    <c:v>77</c:v>
                  </c:pt>
                  <c:pt idx="13">
                    <c:v>59</c:v>
                  </c:pt>
                  <c:pt idx="14">
                    <c:v>69</c:v>
                  </c:pt>
                  <c:pt idx="15">
                    <c:v>78</c:v>
                  </c:pt>
                  <c:pt idx="16">
                    <c:v>60</c:v>
                  </c:pt>
                  <c:pt idx="17">
                    <c:v>76</c:v>
                  </c:pt>
                  <c:pt idx="18">
                    <c:v>55</c:v>
                  </c:pt>
                  <c:pt idx="19">
                    <c:v>70</c:v>
                  </c:pt>
                  <c:pt idx="20">
                    <c:v>66</c:v>
                  </c:pt>
                  <c:pt idx="21">
                    <c:v>66</c:v>
                  </c:pt>
                  <c:pt idx="22">
                    <c:v>82</c:v>
                  </c:pt>
                  <c:pt idx="23">
                    <c:v>79</c:v>
                  </c:pt>
                  <c:pt idx="24">
                    <c:v>77</c:v>
                  </c:pt>
                  <c:pt idx="25">
                    <c:v>63</c:v>
                  </c:pt>
                  <c:pt idx="26">
                    <c:v>78</c:v>
                  </c:pt>
                  <c:pt idx="27">
                    <c:v>69</c:v>
                  </c:pt>
                  <c:pt idx="28">
                    <c:v>81</c:v>
                  </c:pt>
                  <c:pt idx="29">
                    <c:v>61</c:v>
                  </c:pt>
                  <c:pt idx="30">
                    <c:v>55</c:v>
                  </c:pt>
                  <c:pt idx="31">
                    <c:v>64</c:v>
                  </c:pt>
                  <c:pt idx="32">
                    <c:v>77</c:v>
                  </c:pt>
                  <c:pt idx="33">
                    <c:v>71</c:v>
                  </c:pt>
                  <c:pt idx="34">
                    <c:v>61</c:v>
                  </c:pt>
                  <c:pt idx="35">
                    <c:v>66</c:v>
                  </c:pt>
                  <c:pt idx="36">
                    <c:v>70</c:v>
                  </c:pt>
                  <c:pt idx="37">
                    <c:v>72</c:v>
                  </c:pt>
                  <c:pt idx="38">
                    <c:v>48</c:v>
                  </c:pt>
                  <c:pt idx="39">
                    <c:v>64</c:v>
                  </c:pt>
                  <c:pt idx="40">
                    <c:v>80</c:v>
                  </c:pt>
                  <c:pt idx="41">
                    <c:v>75</c:v>
                  </c:pt>
                  <c:pt idx="42">
                    <c:v>85</c:v>
                  </c:pt>
                  <c:pt idx="43">
                    <c:v>76</c:v>
                  </c:pt>
                  <c:pt idx="44">
                    <c:v>75</c:v>
                  </c:pt>
                  <c:pt idx="45">
                    <c:v>79</c:v>
                  </c:pt>
                  <c:pt idx="46">
                    <c:v>73</c:v>
                  </c:pt>
                  <c:pt idx="47">
                    <c:v>66</c:v>
                  </c:pt>
                  <c:pt idx="48">
                    <c:v>69</c:v>
                  </c:pt>
                  <c:pt idx="49">
                    <c:v>77</c:v>
                  </c:pt>
                  <c:pt idx="50">
                    <c:v>54</c:v>
                  </c:pt>
                  <c:pt idx="51">
                    <c:v>76</c:v>
                  </c:pt>
                  <c:pt idx="52">
                    <c:v>68</c:v>
                  </c:pt>
                  <c:pt idx="53">
                    <c:v>72</c:v>
                  </c:pt>
                  <c:pt idx="54">
                    <c:v>71</c:v>
                  </c:pt>
                  <c:pt idx="55">
                    <c:v>75</c:v>
                  </c:pt>
                  <c:pt idx="56">
                    <c:v>68</c:v>
                  </c:pt>
                  <c:pt idx="57">
                    <c:v>62</c:v>
                  </c:pt>
                  <c:pt idx="58">
                    <c:v>45</c:v>
                  </c:pt>
                  <c:pt idx="59">
                    <c:v>71</c:v>
                  </c:pt>
                  <c:pt idx="60">
                    <c:v>65</c:v>
                  </c:pt>
                  <c:pt idx="61">
                    <c:v>57</c:v>
                  </c:pt>
                  <c:pt idx="62">
                    <c:v>71</c:v>
                  </c:pt>
                  <c:pt idx="63">
                    <c:v>84</c:v>
                  </c:pt>
                  <c:pt idx="64">
                    <c:v>49</c:v>
                  </c:pt>
                  <c:pt idx="65">
                    <c:v>83</c:v>
                  </c:pt>
                  <c:pt idx="66">
                    <c:v>43</c:v>
                  </c:pt>
                  <c:pt idx="67">
                    <c:v>64</c:v>
                  </c:pt>
                  <c:pt idx="68">
                    <c:v>55</c:v>
                  </c:pt>
                  <c:pt idx="69">
                    <c:v>59</c:v>
                  </c:pt>
                  <c:pt idx="70">
                    <c:v>73</c:v>
                  </c:pt>
                  <c:pt idx="71">
                    <c:v>77</c:v>
                  </c:pt>
                  <c:pt idx="72">
                    <c:v>77</c:v>
                  </c:pt>
                  <c:pt idx="73">
                    <c:v>69</c:v>
                  </c:pt>
                  <c:pt idx="74">
                    <c:v>57</c:v>
                  </c:pt>
                  <c:pt idx="75">
                    <c:v>61</c:v>
                  </c:pt>
                  <c:pt idx="76">
                    <c:v>66</c:v>
                  </c:pt>
                  <c:pt idx="77">
                    <c:v>77</c:v>
                  </c:pt>
                  <c:pt idx="78">
                    <c:v>70</c:v>
                  </c:pt>
                  <c:pt idx="79">
                    <c:v>61</c:v>
                  </c:pt>
                  <c:pt idx="80">
                    <c:v>57</c:v>
                  </c:pt>
                  <c:pt idx="81">
                    <c:v>74</c:v>
                  </c:pt>
                  <c:pt idx="82">
                    <c:v>71</c:v>
                  </c:pt>
                  <c:pt idx="83">
                    <c:v>55</c:v>
                  </c:pt>
                  <c:pt idx="84">
                    <c:v>70</c:v>
                  </c:pt>
                  <c:pt idx="85">
                    <c:v>76</c:v>
                  </c:pt>
                  <c:pt idx="86">
                    <c:v>67</c:v>
                  </c:pt>
                  <c:pt idx="87">
                    <c:v>62</c:v>
                  </c:pt>
                  <c:pt idx="88">
                    <c:v>78</c:v>
                  </c:pt>
                  <c:pt idx="89">
                    <c:v>73</c:v>
                  </c:pt>
                  <c:pt idx="90">
                    <c:v>66</c:v>
                  </c:pt>
                  <c:pt idx="91">
                    <c:v>61</c:v>
                  </c:pt>
                  <c:pt idx="92">
                    <c:v>69</c:v>
                  </c:pt>
                  <c:pt idx="93">
                    <c:v>59</c:v>
                  </c:pt>
                  <c:pt idx="94">
                    <c:v>55</c:v>
                  </c:pt>
                  <c:pt idx="95">
                    <c:v>81</c:v>
                  </c:pt>
                  <c:pt idx="96">
                    <c:v>68</c:v>
                  </c:pt>
                  <c:pt idx="97">
                    <c:v>53</c:v>
                  </c:pt>
                  <c:pt idx="98">
                    <c:v>76</c:v>
                  </c:pt>
                  <c:pt idx="99">
                    <c:v>52</c:v>
                  </c:pt>
                  <c:pt idx="100">
                    <c:v>77</c:v>
                  </c:pt>
                  <c:pt idx="101">
                    <c:v>71</c:v>
                  </c:pt>
                  <c:pt idx="102">
                    <c:v>69</c:v>
                  </c:pt>
                  <c:pt idx="103">
                    <c:v>74</c:v>
                  </c:pt>
                  <c:pt idx="104">
                    <c:v>46</c:v>
                  </c:pt>
                  <c:pt idx="105">
                    <c:v>70</c:v>
                  </c:pt>
                  <c:pt idx="106">
                    <c:v>73</c:v>
                  </c:pt>
                  <c:pt idx="107">
                    <c:v>74</c:v>
                  </c:pt>
                  <c:pt idx="108">
                    <c:v>79</c:v>
                  </c:pt>
                </c:lvl>
                <c:lvl>
                  <c:pt idx="0">
                    <c:v>Alameda County</c:v>
                  </c:pt>
                  <c:pt idx="1">
                    <c:v>Alameda County</c:v>
                  </c:pt>
                  <c:pt idx="2">
                    <c:v>Alameda County</c:v>
                  </c:pt>
                  <c:pt idx="3">
                    <c:v>Napa County</c:v>
                  </c:pt>
                  <c:pt idx="4">
                    <c:v>Contra Costa County</c:v>
                  </c:pt>
                  <c:pt idx="5">
                    <c:v>San Mateo County</c:v>
                  </c:pt>
                  <c:pt idx="6">
                    <c:v>San Mateo County</c:v>
                  </c:pt>
                  <c:pt idx="7">
                    <c:v>Marin County</c:v>
                  </c:pt>
                  <c:pt idx="8">
                    <c:v>Solano County</c:v>
                  </c:pt>
                  <c:pt idx="9">
                    <c:v>Alameda County</c:v>
                  </c:pt>
                  <c:pt idx="10">
                    <c:v>Contra Costa County</c:v>
                  </c:pt>
                  <c:pt idx="11">
                    <c:v>San Mateo County</c:v>
                  </c:pt>
                  <c:pt idx="12">
                    <c:v>San Mateo County</c:v>
                  </c:pt>
                  <c:pt idx="13">
                    <c:v>Napa County</c:v>
                  </c:pt>
                  <c:pt idx="14">
                    <c:v>Santa Clara County</c:v>
                  </c:pt>
                  <c:pt idx="15">
                    <c:v>Contra Costa County</c:v>
                  </c:pt>
                  <c:pt idx="16">
                    <c:v>Sonoma County</c:v>
                  </c:pt>
                  <c:pt idx="17">
                    <c:v>San Mateo County</c:v>
                  </c:pt>
                  <c:pt idx="18">
                    <c:v>Contra Costa County</c:v>
                  </c:pt>
                  <c:pt idx="19">
                    <c:v>Contra Costa County</c:v>
                  </c:pt>
                  <c:pt idx="20">
                    <c:v>Marin County</c:v>
                  </c:pt>
                  <c:pt idx="21">
                    <c:v>Sonoma County</c:v>
                  </c:pt>
                  <c:pt idx="22">
                    <c:v>Santa Clara County</c:v>
                  </c:pt>
                  <c:pt idx="23">
                    <c:v>San Mateo County</c:v>
                  </c:pt>
                  <c:pt idx="24">
                    <c:v>Contra Costa County</c:v>
                  </c:pt>
                  <c:pt idx="25">
                    <c:v>Solano County</c:v>
                  </c:pt>
                  <c:pt idx="26">
                    <c:v>Alameda County</c:v>
                  </c:pt>
                  <c:pt idx="27">
                    <c:v>Contra Costa County</c:v>
                  </c:pt>
                  <c:pt idx="28">
                    <c:v>Alameda County</c:v>
                  </c:pt>
                  <c:pt idx="29">
                    <c:v>San Mateo County</c:v>
                  </c:pt>
                  <c:pt idx="30">
                    <c:v>Marin County</c:v>
                  </c:pt>
                  <c:pt idx="31">
                    <c:v>Solano County</c:v>
                  </c:pt>
                  <c:pt idx="32">
                    <c:v>San Mateo County</c:v>
                  </c:pt>
                  <c:pt idx="33">
                    <c:v>Alameda County</c:v>
                  </c:pt>
                  <c:pt idx="34">
                    <c:v>Santa Clara County</c:v>
                  </c:pt>
                  <c:pt idx="35">
                    <c:v>San Mateo County</c:v>
                  </c:pt>
                  <c:pt idx="36">
                    <c:v>Alameda County</c:v>
                  </c:pt>
                  <c:pt idx="37">
                    <c:v>Sonoma County</c:v>
                  </c:pt>
                  <c:pt idx="38">
                    <c:v>Napa County</c:v>
                  </c:pt>
                  <c:pt idx="39">
                    <c:v>Contra Costa County</c:v>
                  </c:pt>
                  <c:pt idx="40">
                    <c:v>San Mateo County</c:v>
                  </c:pt>
                  <c:pt idx="41">
                    <c:v>Contra Costa County</c:v>
                  </c:pt>
                  <c:pt idx="42">
                    <c:v>Marin County</c:v>
                  </c:pt>
                  <c:pt idx="43">
                    <c:v>Alameda County</c:v>
                  </c:pt>
                  <c:pt idx="44">
                    <c:v>Santa Clara County</c:v>
                  </c:pt>
                  <c:pt idx="45">
                    <c:v>Santa Clara County</c:v>
                  </c:pt>
                  <c:pt idx="46">
                    <c:v>Santa Clara County</c:v>
                  </c:pt>
                  <c:pt idx="47">
                    <c:v>Marin County</c:v>
                  </c:pt>
                  <c:pt idx="48">
                    <c:v>Contra Costa County</c:v>
                  </c:pt>
                  <c:pt idx="49">
                    <c:v>San Mateo County</c:v>
                  </c:pt>
                  <c:pt idx="50">
                    <c:v>San Mateo County</c:v>
                  </c:pt>
                  <c:pt idx="51">
                    <c:v>Marin County</c:v>
                  </c:pt>
                  <c:pt idx="52">
                    <c:v>Santa Clara County</c:v>
                  </c:pt>
                  <c:pt idx="53">
                    <c:v>Santa Clara County</c:v>
                  </c:pt>
                  <c:pt idx="54">
                    <c:v>Contra Costa County</c:v>
                  </c:pt>
                  <c:pt idx="55">
                    <c:v>Santa Clara County</c:v>
                  </c:pt>
                  <c:pt idx="56">
                    <c:v>Santa Clara County</c:v>
                  </c:pt>
                  <c:pt idx="57">
                    <c:v>Napa County</c:v>
                  </c:pt>
                  <c:pt idx="58">
                    <c:v>Napa County</c:v>
                  </c:pt>
                  <c:pt idx="59">
                    <c:v>Alameda County</c:v>
                  </c:pt>
                  <c:pt idx="60">
                    <c:v>Marin County</c:v>
                  </c:pt>
                  <c:pt idx="61">
                    <c:v>Alameda County</c:v>
                  </c:pt>
                  <c:pt idx="62">
                    <c:v>Contra Costa County</c:v>
                  </c:pt>
                  <c:pt idx="63">
                    <c:v>Contra Costa County</c:v>
                  </c:pt>
                  <c:pt idx="64">
                    <c:v>San Mateo County</c:v>
                  </c:pt>
                  <c:pt idx="65">
                    <c:v>Santa Clara County</c:v>
                  </c:pt>
                  <c:pt idx="66">
                    <c:v>Sonoma County</c:v>
                  </c:pt>
                  <c:pt idx="67">
                    <c:v>Alameda County</c:v>
                  </c:pt>
                  <c:pt idx="68">
                    <c:v>Contra Costa County</c:v>
                  </c:pt>
                  <c:pt idx="69">
                    <c:v>Contra Costa County</c:v>
                  </c:pt>
                  <c:pt idx="70">
                    <c:v>Contra Costa County</c:v>
                  </c:pt>
                  <c:pt idx="71">
                    <c:v>Alameda County</c:v>
                  </c:pt>
                  <c:pt idx="72">
                    <c:v>San Mateo County</c:v>
                  </c:pt>
                  <c:pt idx="73">
                    <c:v>San Mateo County</c:v>
                  </c:pt>
                  <c:pt idx="74">
                    <c:v>Contra Costa County</c:v>
                  </c:pt>
                  <c:pt idx="75">
                    <c:v>Solano County</c:v>
                  </c:pt>
                  <c:pt idx="76">
                    <c:v>Sonoma County</c:v>
                  </c:pt>
                  <c:pt idx="77">
                    <c:v>Marin County</c:v>
                  </c:pt>
                  <c:pt idx="78">
                    <c:v>Marin County</c:v>
                  </c:pt>
                  <c:pt idx="79">
                    <c:v>San Mateo County</c:v>
                  </c:pt>
                  <c:pt idx="80">
                    <c:v>San Mateo County</c:v>
                  </c:pt>
                  <c:pt idx="81">
                    <c:v>San Francisco County</c:v>
                  </c:pt>
                  <c:pt idx="82">
                    <c:v>Santa Clara County</c:v>
                  </c:pt>
                  <c:pt idx="83">
                    <c:v>Alameda County</c:v>
                  </c:pt>
                  <c:pt idx="84">
                    <c:v>San Mateo County</c:v>
                  </c:pt>
                  <c:pt idx="85">
                    <c:v>San Mateo County</c:v>
                  </c:pt>
                  <c:pt idx="86">
                    <c:v>Contra Costa County</c:v>
                  </c:pt>
                  <c:pt idx="87">
                    <c:v>Marin County</c:v>
                  </c:pt>
                  <c:pt idx="88">
                    <c:v>Contra Costa County</c:v>
                  </c:pt>
                  <c:pt idx="89">
                    <c:v>Santa Clara County</c:v>
                  </c:pt>
                  <c:pt idx="90">
                    <c:v>Santa Clara County</c:v>
                  </c:pt>
                  <c:pt idx="91">
                    <c:v>Sonoma County</c:v>
                  </c:pt>
                  <c:pt idx="92">
                    <c:v>Santa Clara County</c:v>
                  </c:pt>
                  <c:pt idx="93">
                    <c:v>Marin County</c:v>
                  </c:pt>
                  <c:pt idx="94">
                    <c:v>Sonoma County</c:v>
                  </c:pt>
                  <c:pt idx="95">
                    <c:v>Solano County</c:v>
                  </c:pt>
                  <c:pt idx="96">
                    <c:v>Sonoma County</c:v>
                  </c:pt>
                  <c:pt idx="97">
                    <c:v>Sonoma County</c:v>
                  </c:pt>
                  <c:pt idx="98">
                    <c:v>San Mateo County</c:v>
                  </c:pt>
                  <c:pt idx="99">
                    <c:v>Solano County</c:v>
                  </c:pt>
                  <c:pt idx="100">
                    <c:v>Santa Clara County</c:v>
                  </c:pt>
                  <c:pt idx="101">
                    <c:v>Marin County</c:v>
                  </c:pt>
                  <c:pt idx="102">
                    <c:v>Alameda County</c:v>
                  </c:pt>
                  <c:pt idx="103">
                    <c:v>Solano County</c:v>
                  </c:pt>
                  <c:pt idx="104">
                    <c:v>Solano County</c:v>
                  </c:pt>
                  <c:pt idx="105">
                    <c:v>Contra Costa County</c:v>
                  </c:pt>
                  <c:pt idx="106">
                    <c:v>Sonoma County</c:v>
                  </c:pt>
                  <c:pt idx="107">
                    <c:v>San Mateo County</c:v>
                  </c:pt>
                  <c:pt idx="108">
                    <c:v>Napa County</c:v>
                  </c:pt>
                </c:lvl>
                <c:lvl>
                  <c:pt idx="0">
                    <c:v>alamedaci</c:v>
                  </c:pt>
                  <c:pt idx="1">
                    <c:v>alamedaco</c:v>
                  </c:pt>
                  <c:pt idx="2">
                    <c:v>albanyci</c:v>
                  </c:pt>
                  <c:pt idx="3">
                    <c:v>AmericanCanyonci</c:v>
                  </c:pt>
                  <c:pt idx="4">
                    <c:v>antiochci</c:v>
                  </c:pt>
                  <c:pt idx="5">
                    <c:v>athertonci</c:v>
                  </c:pt>
                  <c:pt idx="6">
                    <c:v>Belmontci</c:v>
                  </c:pt>
                  <c:pt idx="7">
                    <c:v>belvedereci</c:v>
                  </c:pt>
                  <c:pt idx="8">
                    <c:v>beniciaci</c:v>
                  </c:pt>
                  <c:pt idx="9">
                    <c:v>berkeleyci</c:v>
                  </c:pt>
                  <c:pt idx="10">
                    <c:v>brentwoodci</c:v>
                  </c:pt>
                  <c:pt idx="11">
                    <c:v>brisbaneci</c:v>
                  </c:pt>
                  <c:pt idx="12">
                    <c:v>burlingameci</c:v>
                  </c:pt>
                  <c:pt idx="13">
                    <c:v>calistogaci</c:v>
                  </c:pt>
                  <c:pt idx="14">
                    <c:v>campbellci</c:v>
                  </c:pt>
                  <c:pt idx="15">
                    <c:v>claytonci</c:v>
                  </c:pt>
                  <c:pt idx="16">
                    <c:v>cloverdaleci</c:v>
                  </c:pt>
                  <c:pt idx="17">
                    <c:v>colmaci</c:v>
                  </c:pt>
                  <c:pt idx="18">
                    <c:v>concordci</c:v>
                  </c:pt>
                  <c:pt idx="19">
                    <c:v>contracostaco</c:v>
                  </c:pt>
                  <c:pt idx="20">
                    <c:v>cortemaderaci</c:v>
                  </c:pt>
                  <c:pt idx="21">
                    <c:v>cotatici</c:v>
                  </c:pt>
                  <c:pt idx="22">
                    <c:v>cupertinoci</c:v>
                  </c:pt>
                  <c:pt idx="23">
                    <c:v>dalyci</c:v>
                  </c:pt>
                  <c:pt idx="24">
                    <c:v>danvilleci</c:v>
                  </c:pt>
                  <c:pt idx="25">
                    <c:v>dixonci</c:v>
                  </c:pt>
                  <c:pt idx="26">
                    <c:v>dublinci</c:v>
                  </c:pt>
                  <c:pt idx="27">
                    <c:v>elcerritoci</c:v>
                  </c:pt>
                  <c:pt idx="28">
                    <c:v>emeryvilleci</c:v>
                  </c:pt>
                  <c:pt idx="29">
                    <c:v>epaloaltoci</c:v>
                  </c:pt>
                  <c:pt idx="30">
                    <c:v>fairfaxci</c:v>
                  </c:pt>
                  <c:pt idx="31">
                    <c:v>fairfieldci</c:v>
                  </c:pt>
                  <c:pt idx="32">
                    <c:v>fostercityci</c:v>
                  </c:pt>
                  <c:pt idx="33">
                    <c:v>fremontci</c:v>
                  </c:pt>
                  <c:pt idx="34">
                    <c:v>gilroyci</c:v>
                  </c:pt>
                  <c:pt idx="35">
                    <c:v>halfmoonbayci</c:v>
                  </c:pt>
                  <c:pt idx="36">
                    <c:v>haywardci</c:v>
                  </c:pt>
                  <c:pt idx="37">
                    <c:v>healdsburgci</c:v>
                  </c:pt>
                  <c:pt idx="38">
                    <c:v>helenaci</c:v>
                  </c:pt>
                  <c:pt idx="39">
                    <c:v>herculesci</c:v>
                  </c:pt>
                  <c:pt idx="40">
                    <c:v>hillsboroughci</c:v>
                  </c:pt>
                  <c:pt idx="41">
                    <c:v>lafayetteci</c:v>
                  </c:pt>
                  <c:pt idx="42">
                    <c:v>larkspurci</c:v>
                  </c:pt>
                  <c:pt idx="43">
                    <c:v>livermoreci</c:v>
                  </c:pt>
                  <c:pt idx="44">
                    <c:v>losaltosci</c:v>
                  </c:pt>
                  <c:pt idx="45">
                    <c:v>losaltoshillsci</c:v>
                  </c:pt>
                  <c:pt idx="46">
                    <c:v>losgatosci</c:v>
                  </c:pt>
                  <c:pt idx="47">
                    <c:v>marinco</c:v>
                  </c:pt>
                  <c:pt idx="48">
                    <c:v>martinezci</c:v>
                  </c:pt>
                  <c:pt idx="49">
                    <c:v>menloparkci</c:v>
                  </c:pt>
                  <c:pt idx="50">
                    <c:v>millbraeci</c:v>
                  </c:pt>
                  <c:pt idx="51">
                    <c:v>millvalleyci</c:v>
                  </c:pt>
                  <c:pt idx="52">
                    <c:v>milpitasci</c:v>
                  </c:pt>
                  <c:pt idx="53">
                    <c:v>MonteSerenoci</c:v>
                  </c:pt>
                  <c:pt idx="54">
                    <c:v>moragaci</c:v>
                  </c:pt>
                  <c:pt idx="55">
                    <c:v>morganhillci</c:v>
                  </c:pt>
                  <c:pt idx="56">
                    <c:v>mtnviewci</c:v>
                  </c:pt>
                  <c:pt idx="57">
                    <c:v>napaci</c:v>
                  </c:pt>
                  <c:pt idx="58">
                    <c:v>napaco</c:v>
                  </c:pt>
                  <c:pt idx="59">
                    <c:v>newarkci</c:v>
                  </c:pt>
                  <c:pt idx="60">
                    <c:v>novatoci</c:v>
                  </c:pt>
                  <c:pt idx="61">
                    <c:v>oaklandci</c:v>
                  </c:pt>
                  <c:pt idx="62">
                    <c:v>oakleyci</c:v>
                  </c:pt>
                  <c:pt idx="63">
                    <c:v>orindaci</c:v>
                  </c:pt>
                  <c:pt idx="64">
                    <c:v>pacificaci</c:v>
                  </c:pt>
                  <c:pt idx="65">
                    <c:v>paloaltoci</c:v>
                  </c:pt>
                  <c:pt idx="66">
                    <c:v>petalumaci</c:v>
                  </c:pt>
                  <c:pt idx="67">
                    <c:v>piedmontci</c:v>
                  </c:pt>
                  <c:pt idx="68">
                    <c:v>pinoleci</c:v>
                  </c:pt>
                  <c:pt idx="69">
                    <c:v>pittsburgci</c:v>
                  </c:pt>
                  <c:pt idx="70">
                    <c:v>pleasanthillci</c:v>
                  </c:pt>
                  <c:pt idx="71">
                    <c:v>pleasantonci</c:v>
                  </c:pt>
                  <c:pt idx="72">
                    <c:v>PortolaValleyci</c:v>
                  </c:pt>
                  <c:pt idx="73">
                    <c:v>redwoodci</c:v>
                  </c:pt>
                  <c:pt idx="74">
                    <c:v>richmondci</c:v>
                  </c:pt>
                  <c:pt idx="75">
                    <c:v>RioVistaci</c:v>
                  </c:pt>
                  <c:pt idx="76">
                    <c:v>rohnertparkci</c:v>
                  </c:pt>
                  <c:pt idx="77">
                    <c:v>rossci</c:v>
                  </c:pt>
                  <c:pt idx="78">
                    <c:v>sananselmoci</c:v>
                  </c:pt>
                  <c:pt idx="79">
                    <c:v>sanbrunoci</c:v>
                  </c:pt>
                  <c:pt idx="80">
                    <c:v>sancarlosci</c:v>
                  </c:pt>
                  <c:pt idx="81">
                    <c:v>SanFranci</c:v>
                  </c:pt>
                  <c:pt idx="82">
                    <c:v>sanjoseci</c:v>
                  </c:pt>
                  <c:pt idx="83">
                    <c:v>sanleandroci</c:v>
                  </c:pt>
                  <c:pt idx="84">
                    <c:v>sanmateoci</c:v>
                  </c:pt>
                  <c:pt idx="85">
                    <c:v>sanmateoco</c:v>
                  </c:pt>
                  <c:pt idx="86">
                    <c:v>sanpabloci</c:v>
                  </c:pt>
                  <c:pt idx="87">
                    <c:v>sanrafaelci</c:v>
                  </c:pt>
                  <c:pt idx="88">
                    <c:v>sanramonci</c:v>
                  </c:pt>
                  <c:pt idx="89">
                    <c:v>santaclaraci</c:v>
                  </c:pt>
                  <c:pt idx="90">
                    <c:v>santaclaraco</c:v>
                  </c:pt>
                  <c:pt idx="91">
                    <c:v>santarosaci</c:v>
                  </c:pt>
                  <c:pt idx="92">
                    <c:v>Saratogaci</c:v>
                  </c:pt>
                  <c:pt idx="93">
                    <c:v>sausalitoci</c:v>
                  </c:pt>
                  <c:pt idx="94">
                    <c:v>sebastopolci</c:v>
                  </c:pt>
                  <c:pt idx="95">
                    <c:v>Solanoco</c:v>
                  </c:pt>
                  <c:pt idx="96">
                    <c:v>sonomaci</c:v>
                  </c:pt>
                  <c:pt idx="97">
                    <c:v>sonomaco</c:v>
                  </c:pt>
                  <c:pt idx="98">
                    <c:v>southsanfranci</c:v>
                  </c:pt>
                  <c:pt idx="99">
                    <c:v>suisunci</c:v>
                  </c:pt>
                  <c:pt idx="100">
                    <c:v>sunnyvaleci</c:v>
                  </c:pt>
                  <c:pt idx="101">
                    <c:v>tiburonci</c:v>
                  </c:pt>
                  <c:pt idx="102">
                    <c:v>unioncityci</c:v>
                  </c:pt>
                  <c:pt idx="103">
                    <c:v>vacavilleci</c:v>
                  </c:pt>
                  <c:pt idx="104">
                    <c:v>vallejoci</c:v>
                  </c:pt>
                  <c:pt idx="105">
                    <c:v>walnutcreekci</c:v>
                  </c:pt>
                  <c:pt idx="106">
                    <c:v>windsorci</c:v>
                  </c:pt>
                  <c:pt idx="107">
                    <c:v>woodsideci</c:v>
                  </c:pt>
                  <c:pt idx="108">
                    <c:v>yountvilleci</c:v>
                  </c:pt>
                </c:lvl>
              </c:multiLvlStrCache>
            </c:multiLvlStrRef>
          </c:xVal>
          <c:yVal>
            <c:numRef>
              <c:f>'MTC Regional PCIs 2022-2025'!$J$2:$J$110</c:f>
              <c:numCache>
                <c:formatCode>0.00</c:formatCode>
                <c:ptCount val="109"/>
                <c:pt idx="0">
                  <c:v>2.3333333333333286</c:v>
                </c:pt>
                <c:pt idx="1">
                  <c:v>0.3333333333333286</c:v>
                </c:pt>
                <c:pt idx="2">
                  <c:v>0.6666666666666643</c:v>
                </c:pt>
                <c:pt idx="3">
                  <c:v>3.3333333333333357</c:v>
                </c:pt>
                <c:pt idx="4">
                  <c:v>3</c:v>
                </c:pt>
                <c:pt idx="5">
                  <c:v>-2.3333333333333286</c:v>
                </c:pt>
                <c:pt idx="6">
                  <c:v>-1.3333333333333286</c:v>
                </c:pt>
                <c:pt idx="7">
                  <c:v>0.6666666666666714</c:v>
                </c:pt>
                <c:pt idx="8">
                  <c:v>1.3333333333333357</c:v>
                </c:pt>
                <c:pt idx="9">
                  <c:v>0</c:v>
                </c:pt>
                <c:pt idx="10">
                  <c:v>2.6666666666666714</c:v>
                </c:pt>
                <c:pt idx="11">
                  <c:v>3.3333333333333286</c:v>
                </c:pt>
                <c:pt idx="12">
                  <c:v>2</c:v>
                </c:pt>
                <c:pt idx="13">
                  <c:v>3</c:v>
                </c:pt>
                <c:pt idx="14">
                  <c:v>3.3333333333333286</c:v>
                </c:pt>
                <c:pt idx="15">
                  <c:v>4</c:v>
                </c:pt>
                <c:pt idx="16">
                  <c:v>1.6666666666666643</c:v>
                </c:pt>
                <c:pt idx="17">
                  <c:v>-5</c:v>
                </c:pt>
                <c:pt idx="18">
                  <c:v>1.3333333333333357</c:v>
                </c:pt>
                <c:pt idx="19">
                  <c:v>1.3333333333333286</c:v>
                </c:pt>
                <c:pt idx="20">
                  <c:v>1.3333333333333286</c:v>
                </c:pt>
                <c:pt idx="21">
                  <c:v>-2.3333333333333286</c:v>
                </c:pt>
                <c:pt idx="22">
                  <c:v>0.6666666666666714</c:v>
                </c:pt>
                <c:pt idx="23">
                  <c:v>2.3333333333333286</c:v>
                </c:pt>
                <c:pt idx="24">
                  <c:v>0</c:v>
                </c:pt>
                <c:pt idx="25">
                  <c:v>1.6666666666666714</c:v>
                </c:pt>
                <c:pt idx="26">
                  <c:v>0.6666666666666714</c:v>
                </c:pt>
                <c:pt idx="27">
                  <c:v>2.6666666666666714</c:v>
                </c:pt>
                <c:pt idx="28">
                  <c:v>4.3333333333333286</c:v>
                </c:pt>
                <c:pt idx="29">
                  <c:v>2.6666666666666643</c:v>
                </c:pt>
                <c:pt idx="30">
                  <c:v>2.3333333333333357</c:v>
                </c:pt>
                <c:pt idx="31">
                  <c:v>3</c:v>
                </c:pt>
                <c:pt idx="32">
                  <c:v>1.3333333333333286</c:v>
                </c:pt>
                <c:pt idx="33">
                  <c:v>1.6666666666666714</c:v>
                </c:pt>
                <c:pt idx="34">
                  <c:v>1</c:v>
                </c:pt>
                <c:pt idx="35">
                  <c:v>2.3333333333333286</c:v>
                </c:pt>
                <c:pt idx="36">
                  <c:v>-1</c:v>
                </c:pt>
                <c:pt idx="37">
                  <c:v>3</c:v>
                </c:pt>
                <c:pt idx="38">
                  <c:v>-6.6666666666666643</c:v>
                </c:pt>
                <c:pt idx="39">
                  <c:v>3</c:v>
                </c:pt>
                <c:pt idx="40">
                  <c:v>2.3333333333333286</c:v>
                </c:pt>
                <c:pt idx="41">
                  <c:v>-1</c:v>
                </c:pt>
                <c:pt idx="42">
                  <c:v>1</c:v>
                </c:pt>
                <c:pt idx="43">
                  <c:v>2.3333333333333286</c:v>
                </c:pt>
                <c:pt idx="44">
                  <c:v>3</c:v>
                </c:pt>
                <c:pt idx="45">
                  <c:v>-0.3333333333333286</c:v>
                </c:pt>
                <c:pt idx="46">
                  <c:v>-4.3333333333333286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3</c:v>
                </c:pt>
                <c:pt idx="51">
                  <c:v>-1.6666666666666714</c:v>
                </c:pt>
                <c:pt idx="52">
                  <c:v>2</c:v>
                </c:pt>
                <c:pt idx="53">
                  <c:v>-1</c:v>
                </c:pt>
                <c:pt idx="54">
                  <c:v>-2.3333333333333286</c:v>
                </c:pt>
                <c:pt idx="55">
                  <c:v>1.6666666666666714</c:v>
                </c:pt>
                <c:pt idx="56">
                  <c:v>2.6666666666666714</c:v>
                </c:pt>
                <c:pt idx="57">
                  <c:v>-1.3333333333333357</c:v>
                </c:pt>
                <c:pt idx="58">
                  <c:v>-2.6666666666666643</c:v>
                </c:pt>
                <c:pt idx="59">
                  <c:v>1.3333333333333286</c:v>
                </c:pt>
                <c:pt idx="60">
                  <c:v>3.3333333333333357</c:v>
                </c:pt>
                <c:pt idx="61">
                  <c:v>-1.3333333333333357</c:v>
                </c:pt>
                <c:pt idx="62">
                  <c:v>2.6666666666666714</c:v>
                </c:pt>
                <c:pt idx="63">
                  <c:v>2</c:v>
                </c:pt>
                <c:pt idx="64">
                  <c:v>0.6666666666666643</c:v>
                </c:pt>
                <c:pt idx="65">
                  <c:v>1.3333333333333286</c:v>
                </c:pt>
                <c:pt idx="66">
                  <c:v>-1</c:v>
                </c:pt>
                <c:pt idx="67">
                  <c:v>3</c:v>
                </c:pt>
                <c:pt idx="68">
                  <c:v>2.6666666666666643</c:v>
                </c:pt>
                <c:pt idx="69">
                  <c:v>0.3333333333333357</c:v>
                </c:pt>
                <c:pt idx="70">
                  <c:v>2.6666666666666714</c:v>
                </c:pt>
                <c:pt idx="71">
                  <c:v>1.3333333333333286</c:v>
                </c:pt>
                <c:pt idx="72">
                  <c:v>2</c:v>
                </c:pt>
                <c:pt idx="73">
                  <c:v>1.3333333333333286</c:v>
                </c:pt>
                <c:pt idx="74">
                  <c:v>0.3333333333333357</c:v>
                </c:pt>
                <c:pt idx="75">
                  <c:v>2.6666666666666643</c:v>
                </c:pt>
                <c:pt idx="76">
                  <c:v>2.3333333333333286</c:v>
                </c:pt>
                <c:pt idx="77">
                  <c:v>3</c:v>
                </c:pt>
                <c:pt idx="78">
                  <c:v>-1</c:v>
                </c:pt>
                <c:pt idx="79">
                  <c:v>-2.6666666666666643</c:v>
                </c:pt>
                <c:pt idx="80">
                  <c:v>1.6666666666666643</c:v>
                </c:pt>
                <c:pt idx="81">
                  <c:v>-0.3333333333333286</c:v>
                </c:pt>
                <c:pt idx="82">
                  <c:v>1.6666666666666714</c:v>
                </c:pt>
                <c:pt idx="83">
                  <c:v>0.6666666666666643</c:v>
                </c:pt>
                <c:pt idx="84">
                  <c:v>0.6666666666666714</c:v>
                </c:pt>
                <c:pt idx="85">
                  <c:v>2.3333333333333286</c:v>
                </c:pt>
                <c:pt idx="86">
                  <c:v>2.3333333333333286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-5</c:v>
                </c:pt>
                <c:pt idx="91">
                  <c:v>-1.3333333333333357</c:v>
                </c:pt>
                <c:pt idx="92">
                  <c:v>2.3333333333333286</c:v>
                </c:pt>
                <c:pt idx="93">
                  <c:v>4</c:v>
                </c:pt>
                <c:pt idx="94">
                  <c:v>0</c:v>
                </c:pt>
                <c:pt idx="95">
                  <c:v>2</c:v>
                </c:pt>
                <c:pt idx="96">
                  <c:v>4.3333333333333357</c:v>
                </c:pt>
                <c:pt idx="97">
                  <c:v>2</c:v>
                </c:pt>
                <c:pt idx="98">
                  <c:v>1.3333333333333286</c:v>
                </c:pt>
                <c:pt idx="99">
                  <c:v>3</c:v>
                </c:pt>
                <c:pt idx="100">
                  <c:v>1</c:v>
                </c:pt>
                <c:pt idx="101">
                  <c:v>-1</c:v>
                </c:pt>
                <c:pt idx="102">
                  <c:v>3</c:v>
                </c:pt>
                <c:pt idx="103">
                  <c:v>1.3333333333333286</c:v>
                </c:pt>
                <c:pt idx="104">
                  <c:v>2.3333333333333357</c:v>
                </c:pt>
                <c:pt idx="105">
                  <c:v>0</c:v>
                </c:pt>
                <c:pt idx="106">
                  <c:v>3.3333333333333286</c:v>
                </c:pt>
                <c:pt idx="107">
                  <c:v>2</c:v>
                </c:pt>
                <c:pt idx="108">
                  <c:v>0.3333333333333286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4-4B5F-AB33-830B0000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403711"/>
        <c:axId val="283404671"/>
      </c:scatterChart>
      <c:valAx>
        <c:axId val="28340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04671"/>
        <c:crosses val="autoZero"/>
        <c:crossBetween val="midCat"/>
      </c:valAx>
      <c:valAx>
        <c:axId val="2834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0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'MTC Regional PCIs 2022-2025'!$F$1</c:f>
              <c:strCache>
                <c:ptCount val="1"/>
                <c:pt idx="0">
                  <c:v>7/15/2025 PCI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'MTC Regional PCIs 2022-2025'!$A$2:$B$110</c:f>
              <c:multiLvlStrCache>
                <c:ptCount val="109"/>
                <c:lvl>
                  <c:pt idx="0">
                    <c:v>Alameda County</c:v>
                  </c:pt>
                  <c:pt idx="1">
                    <c:v>Alameda County</c:v>
                  </c:pt>
                  <c:pt idx="2">
                    <c:v>Alameda County</c:v>
                  </c:pt>
                  <c:pt idx="3">
                    <c:v>Napa County</c:v>
                  </c:pt>
                  <c:pt idx="4">
                    <c:v>Contra Costa County</c:v>
                  </c:pt>
                  <c:pt idx="5">
                    <c:v>San Mateo County</c:v>
                  </c:pt>
                  <c:pt idx="6">
                    <c:v>San Mateo County</c:v>
                  </c:pt>
                  <c:pt idx="7">
                    <c:v>Marin County</c:v>
                  </c:pt>
                  <c:pt idx="8">
                    <c:v>Solano County</c:v>
                  </c:pt>
                  <c:pt idx="9">
                    <c:v>Alameda County</c:v>
                  </c:pt>
                  <c:pt idx="10">
                    <c:v>Contra Costa County</c:v>
                  </c:pt>
                  <c:pt idx="11">
                    <c:v>San Mateo County</c:v>
                  </c:pt>
                  <c:pt idx="12">
                    <c:v>San Mateo County</c:v>
                  </c:pt>
                  <c:pt idx="13">
                    <c:v>Napa County</c:v>
                  </c:pt>
                  <c:pt idx="14">
                    <c:v>Santa Clara County</c:v>
                  </c:pt>
                  <c:pt idx="15">
                    <c:v>Contra Costa County</c:v>
                  </c:pt>
                  <c:pt idx="16">
                    <c:v>Sonoma County</c:v>
                  </c:pt>
                  <c:pt idx="17">
                    <c:v>San Mateo County</c:v>
                  </c:pt>
                  <c:pt idx="18">
                    <c:v>Contra Costa County</c:v>
                  </c:pt>
                  <c:pt idx="19">
                    <c:v>Contra Costa County</c:v>
                  </c:pt>
                  <c:pt idx="20">
                    <c:v>Marin County</c:v>
                  </c:pt>
                  <c:pt idx="21">
                    <c:v>Sonoma County</c:v>
                  </c:pt>
                  <c:pt idx="22">
                    <c:v>Santa Clara County</c:v>
                  </c:pt>
                  <c:pt idx="23">
                    <c:v>San Mateo County</c:v>
                  </c:pt>
                  <c:pt idx="24">
                    <c:v>Contra Costa County</c:v>
                  </c:pt>
                  <c:pt idx="25">
                    <c:v>Solano County</c:v>
                  </c:pt>
                  <c:pt idx="26">
                    <c:v>Alameda County</c:v>
                  </c:pt>
                  <c:pt idx="27">
                    <c:v>Contra Costa County</c:v>
                  </c:pt>
                  <c:pt idx="28">
                    <c:v>Alameda County</c:v>
                  </c:pt>
                  <c:pt idx="29">
                    <c:v>San Mateo County</c:v>
                  </c:pt>
                  <c:pt idx="30">
                    <c:v>Marin County</c:v>
                  </c:pt>
                  <c:pt idx="31">
                    <c:v>Solano County</c:v>
                  </c:pt>
                  <c:pt idx="32">
                    <c:v>San Mateo County</c:v>
                  </c:pt>
                  <c:pt idx="33">
                    <c:v>Alameda County</c:v>
                  </c:pt>
                  <c:pt idx="34">
                    <c:v>Santa Clara County</c:v>
                  </c:pt>
                  <c:pt idx="35">
                    <c:v>San Mateo County</c:v>
                  </c:pt>
                  <c:pt idx="36">
                    <c:v>Alameda County</c:v>
                  </c:pt>
                  <c:pt idx="37">
                    <c:v>Sonoma County</c:v>
                  </c:pt>
                  <c:pt idx="38">
                    <c:v>Napa County</c:v>
                  </c:pt>
                  <c:pt idx="39">
                    <c:v>Contra Costa County</c:v>
                  </c:pt>
                  <c:pt idx="40">
                    <c:v>San Mateo County</c:v>
                  </c:pt>
                  <c:pt idx="41">
                    <c:v>Contra Costa County</c:v>
                  </c:pt>
                  <c:pt idx="42">
                    <c:v>Marin County</c:v>
                  </c:pt>
                  <c:pt idx="43">
                    <c:v>Alameda County</c:v>
                  </c:pt>
                  <c:pt idx="44">
                    <c:v>Santa Clara County</c:v>
                  </c:pt>
                  <c:pt idx="45">
                    <c:v>Santa Clara County</c:v>
                  </c:pt>
                  <c:pt idx="46">
                    <c:v>Santa Clara County</c:v>
                  </c:pt>
                  <c:pt idx="47">
                    <c:v>Marin County</c:v>
                  </c:pt>
                  <c:pt idx="48">
                    <c:v>Contra Costa County</c:v>
                  </c:pt>
                  <c:pt idx="49">
                    <c:v>San Mateo County</c:v>
                  </c:pt>
                  <c:pt idx="50">
                    <c:v>San Mateo County</c:v>
                  </c:pt>
                  <c:pt idx="51">
                    <c:v>Marin County</c:v>
                  </c:pt>
                  <c:pt idx="52">
                    <c:v>Santa Clara County</c:v>
                  </c:pt>
                  <c:pt idx="53">
                    <c:v>Santa Clara County</c:v>
                  </c:pt>
                  <c:pt idx="54">
                    <c:v>Contra Costa County</c:v>
                  </c:pt>
                  <c:pt idx="55">
                    <c:v>Santa Clara County</c:v>
                  </c:pt>
                  <c:pt idx="56">
                    <c:v>Santa Clara County</c:v>
                  </c:pt>
                  <c:pt idx="57">
                    <c:v>Napa County</c:v>
                  </c:pt>
                  <c:pt idx="58">
                    <c:v>Napa County</c:v>
                  </c:pt>
                  <c:pt idx="59">
                    <c:v>Alameda County</c:v>
                  </c:pt>
                  <c:pt idx="60">
                    <c:v>Marin County</c:v>
                  </c:pt>
                  <c:pt idx="61">
                    <c:v>Alameda County</c:v>
                  </c:pt>
                  <c:pt idx="62">
                    <c:v>Contra Costa County</c:v>
                  </c:pt>
                  <c:pt idx="63">
                    <c:v>Contra Costa County</c:v>
                  </c:pt>
                  <c:pt idx="64">
                    <c:v>San Mateo County</c:v>
                  </c:pt>
                  <c:pt idx="65">
                    <c:v>Santa Clara County</c:v>
                  </c:pt>
                  <c:pt idx="66">
                    <c:v>Sonoma County</c:v>
                  </c:pt>
                  <c:pt idx="67">
                    <c:v>Alameda County</c:v>
                  </c:pt>
                  <c:pt idx="68">
                    <c:v>Contra Costa County</c:v>
                  </c:pt>
                  <c:pt idx="69">
                    <c:v>Contra Costa County</c:v>
                  </c:pt>
                  <c:pt idx="70">
                    <c:v>Contra Costa County</c:v>
                  </c:pt>
                  <c:pt idx="71">
                    <c:v>Alameda County</c:v>
                  </c:pt>
                  <c:pt idx="72">
                    <c:v>San Mateo County</c:v>
                  </c:pt>
                  <c:pt idx="73">
                    <c:v>San Mateo County</c:v>
                  </c:pt>
                  <c:pt idx="74">
                    <c:v>Contra Costa County</c:v>
                  </c:pt>
                  <c:pt idx="75">
                    <c:v>Solano County</c:v>
                  </c:pt>
                  <c:pt idx="76">
                    <c:v>Sonoma County</c:v>
                  </c:pt>
                  <c:pt idx="77">
                    <c:v>Marin County</c:v>
                  </c:pt>
                  <c:pt idx="78">
                    <c:v>Marin County</c:v>
                  </c:pt>
                  <c:pt idx="79">
                    <c:v>San Mateo County</c:v>
                  </c:pt>
                  <c:pt idx="80">
                    <c:v>San Mateo County</c:v>
                  </c:pt>
                  <c:pt idx="81">
                    <c:v>San Francisco County</c:v>
                  </c:pt>
                  <c:pt idx="82">
                    <c:v>Santa Clara County</c:v>
                  </c:pt>
                  <c:pt idx="83">
                    <c:v>Alameda County</c:v>
                  </c:pt>
                  <c:pt idx="84">
                    <c:v>San Mateo County</c:v>
                  </c:pt>
                  <c:pt idx="85">
                    <c:v>San Mateo County</c:v>
                  </c:pt>
                  <c:pt idx="86">
                    <c:v>Contra Costa County</c:v>
                  </c:pt>
                  <c:pt idx="87">
                    <c:v>Marin County</c:v>
                  </c:pt>
                  <c:pt idx="88">
                    <c:v>Contra Costa County</c:v>
                  </c:pt>
                  <c:pt idx="89">
                    <c:v>Santa Clara County</c:v>
                  </c:pt>
                  <c:pt idx="90">
                    <c:v>Santa Clara County</c:v>
                  </c:pt>
                  <c:pt idx="91">
                    <c:v>Sonoma County</c:v>
                  </c:pt>
                  <c:pt idx="92">
                    <c:v>Santa Clara County</c:v>
                  </c:pt>
                  <c:pt idx="93">
                    <c:v>Marin County</c:v>
                  </c:pt>
                  <c:pt idx="94">
                    <c:v>Sonoma County</c:v>
                  </c:pt>
                  <c:pt idx="95">
                    <c:v>Solano County</c:v>
                  </c:pt>
                  <c:pt idx="96">
                    <c:v>Sonoma County</c:v>
                  </c:pt>
                  <c:pt idx="97">
                    <c:v>Sonoma County</c:v>
                  </c:pt>
                  <c:pt idx="98">
                    <c:v>San Mateo County</c:v>
                  </c:pt>
                  <c:pt idx="99">
                    <c:v>Solano County</c:v>
                  </c:pt>
                  <c:pt idx="100">
                    <c:v>Santa Clara County</c:v>
                  </c:pt>
                  <c:pt idx="101">
                    <c:v>Marin County</c:v>
                  </c:pt>
                  <c:pt idx="102">
                    <c:v>Alameda County</c:v>
                  </c:pt>
                  <c:pt idx="103">
                    <c:v>Solano County</c:v>
                  </c:pt>
                  <c:pt idx="104">
                    <c:v>Solano County</c:v>
                  </c:pt>
                  <c:pt idx="105">
                    <c:v>Contra Costa County</c:v>
                  </c:pt>
                  <c:pt idx="106">
                    <c:v>Sonoma County</c:v>
                  </c:pt>
                  <c:pt idx="107">
                    <c:v>San Mateo County</c:v>
                  </c:pt>
                  <c:pt idx="108">
                    <c:v>Napa County</c:v>
                  </c:pt>
                </c:lvl>
                <c:lvl>
                  <c:pt idx="0">
                    <c:v>alamedaci</c:v>
                  </c:pt>
                  <c:pt idx="1">
                    <c:v>alamedaco</c:v>
                  </c:pt>
                  <c:pt idx="2">
                    <c:v>albanyci</c:v>
                  </c:pt>
                  <c:pt idx="3">
                    <c:v>AmericanCanyonci</c:v>
                  </c:pt>
                  <c:pt idx="4">
                    <c:v>antiochci</c:v>
                  </c:pt>
                  <c:pt idx="5">
                    <c:v>athertonci</c:v>
                  </c:pt>
                  <c:pt idx="6">
                    <c:v>Belmontci</c:v>
                  </c:pt>
                  <c:pt idx="7">
                    <c:v>belvedereci</c:v>
                  </c:pt>
                  <c:pt idx="8">
                    <c:v>beniciaci</c:v>
                  </c:pt>
                  <c:pt idx="9">
                    <c:v>berkeleyci</c:v>
                  </c:pt>
                  <c:pt idx="10">
                    <c:v>brentwoodci</c:v>
                  </c:pt>
                  <c:pt idx="11">
                    <c:v>brisbaneci</c:v>
                  </c:pt>
                  <c:pt idx="12">
                    <c:v>burlingameci</c:v>
                  </c:pt>
                  <c:pt idx="13">
                    <c:v>calistogaci</c:v>
                  </c:pt>
                  <c:pt idx="14">
                    <c:v>campbellci</c:v>
                  </c:pt>
                  <c:pt idx="15">
                    <c:v>claytonci</c:v>
                  </c:pt>
                  <c:pt idx="16">
                    <c:v>cloverdaleci</c:v>
                  </c:pt>
                  <c:pt idx="17">
                    <c:v>colmaci</c:v>
                  </c:pt>
                  <c:pt idx="18">
                    <c:v>concordci</c:v>
                  </c:pt>
                  <c:pt idx="19">
                    <c:v>contracostaco</c:v>
                  </c:pt>
                  <c:pt idx="20">
                    <c:v>cortemaderaci</c:v>
                  </c:pt>
                  <c:pt idx="21">
                    <c:v>cotatici</c:v>
                  </c:pt>
                  <c:pt idx="22">
                    <c:v>cupertinoci</c:v>
                  </c:pt>
                  <c:pt idx="23">
                    <c:v>dalyci</c:v>
                  </c:pt>
                  <c:pt idx="24">
                    <c:v>danvilleci</c:v>
                  </c:pt>
                  <c:pt idx="25">
                    <c:v>dixonci</c:v>
                  </c:pt>
                  <c:pt idx="26">
                    <c:v>dublinci</c:v>
                  </c:pt>
                  <c:pt idx="27">
                    <c:v>elcerritoci</c:v>
                  </c:pt>
                  <c:pt idx="28">
                    <c:v>emeryvilleci</c:v>
                  </c:pt>
                  <c:pt idx="29">
                    <c:v>epaloaltoci</c:v>
                  </c:pt>
                  <c:pt idx="30">
                    <c:v>fairfaxci</c:v>
                  </c:pt>
                  <c:pt idx="31">
                    <c:v>fairfieldci</c:v>
                  </c:pt>
                  <c:pt idx="32">
                    <c:v>fostercityci</c:v>
                  </c:pt>
                  <c:pt idx="33">
                    <c:v>fremontci</c:v>
                  </c:pt>
                  <c:pt idx="34">
                    <c:v>gilroyci</c:v>
                  </c:pt>
                  <c:pt idx="35">
                    <c:v>halfmoonbayci</c:v>
                  </c:pt>
                  <c:pt idx="36">
                    <c:v>haywardci</c:v>
                  </c:pt>
                  <c:pt idx="37">
                    <c:v>healdsburgci</c:v>
                  </c:pt>
                  <c:pt idx="38">
                    <c:v>helenaci</c:v>
                  </c:pt>
                  <c:pt idx="39">
                    <c:v>herculesci</c:v>
                  </c:pt>
                  <c:pt idx="40">
                    <c:v>hillsboroughci</c:v>
                  </c:pt>
                  <c:pt idx="41">
                    <c:v>lafayetteci</c:v>
                  </c:pt>
                  <c:pt idx="42">
                    <c:v>larkspurci</c:v>
                  </c:pt>
                  <c:pt idx="43">
                    <c:v>livermoreci</c:v>
                  </c:pt>
                  <c:pt idx="44">
                    <c:v>losaltosci</c:v>
                  </c:pt>
                  <c:pt idx="45">
                    <c:v>losaltoshillsci</c:v>
                  </c:pt>
                  <c:pt idx="46">
                    <c:v>losgatosci</c:v>
                  </c:pt>
                  <c:pt idx="47">
                    <c:v>marinco</c:v>
                  </c:pt>
                  <c:pt idx="48">
                    <c:v>martinezci</c:v>
                  </c:pt>
                  <c:pt idx="49">
                    <c:v>menloparkci</c:v>
                  </c:pt>
                  <c:pt idx="50">
                    <c:v>millbraeci</c:v>
                  </c:pt>
                  <c:pt idx="51">
                    <c:v>millvalleyci</c:v>
                  </c:pt>
                  <c:pt idx="52">
                    <c:v>milpitasci</c:v>
                  </c:pt>
                  <c:pt idx="53">
                    <c:v>MonteSerenoci</c:v>
                  </c:pt>
                  <c:pt idx="54">
                    <c:v>moragaci</c:v>
                  </c:pt>
                  <c:pt idx="55">
                    <c:v>morganhillci</c:v>
                  </c:pt>
                  <c:pt idx="56">
                    <c:v>mtnviewci</c:v>
                  </c:pt>
                  <c:pt idx="57">
                    <c:v>napaci</c:v>
                  </c:pt>
                  <c:pt idx="58">
                    <c:v>napaco</c:v>
                  </c:pt>
                  <c:pt idx="59">
                    <c:v>newarkci</c:v>
                  </c:pt>
                  <c:pt idx="60">
                    <c:v>novatoci</c:v>
                  </c:pt>
                  <c:pt idx="61">
                    <c:v>oaklandci</c:v>
                  </c:pt>
                  <c:pt idx="62">
                    <c:v>oakleyci</c:v>
                  </c:pt>
                  <c:pt idx="63">
                    <c:v>orindaci</c:v>
                  </c:pt>
                  <c:pt idx="64">
                    <c:v>pacificaci</c:v>
                  </c:pt>
                  <c:pt idx="65">
                    <c:v>paloaltoci</c:v>
                  </c:pt>
                  <c:pt idx="66">
                    <c:v>petalumaci</c:v>
                  </c:pt>
                  <c:pt idx="67">
                    <c:v>piedmontci</c:v>
                  </c:pt>
                  <c:pt idx="68">
                    <c:v>pinoleci</c:v>
                  </c:pt>
                  <c:pt idx="69">
                    <c:v>pittsburgci</c:v>
                  </c:pt>
                  <c:pt idx="70">
                    <c:v>pleasanthillci</c:v>
                  </c:pt>
                  <c:pt idx="71">
                    <c:v>pleasantonci</c:v>
                  </c:pt>
                  <c:pt idx="72">
                    <c:v>PortolaValleyci</c:v>
                  </c:pt>
                  <c:pt idx="73">
                    <c:v>redwoodci</c:v>
                  </c:pt>
                  <c:pt idx="74">
                    <c:v>richmondci</c:v>
                  </c:pt>
                  <c:pt idx="75">
                    <c:v>RioVistaci</c:v>
                  </c:pt>
                  <c:pt idx="76">
                    <c:v>rohnertparkci</c:v>
                  </c:pt>
                  <c:pt idx="77">
                    <c:v>rossci</c:v>
                  </c:pt>
                  <c:pt idx="78">
                    <c:v>sananselmoci</c:v>
                  </c:pt>
                  <c:pt idx="79">
                    <c:v>sanbrunoci</c:v>
                  </c:pt>
                  <c:pt idx="80">
                    <c:v>sancarlosci</c:v>
                  </c:pt>
                  <c:pt idx="81">
                    <c:v>SanFranci</c:v>
                  </c:pt>
                  <c:pt idx="82">
                    <c:v>sanjoseci</c:v>
                  </c:pt>
                  <c:pt idx="83">
                    <c:v>sanleandroci</c:v>
                  </c:pt>
                  <c:pt idx="84">
                    <c:v>sanmateoci</c:v>
                  </c:pt>
                  <c:pt idx="85">
                    <c:v>sanmateoco</c:v>
                  </c:pt>
                  <c:pt idx="86">
                    <c:v>sanpabloci</c:v>
                  </c:pt>
                  <c:pt idx="87">
                    <c:v>sanrafaelci</c:v>
                  </c:pt>
                  <c:pt idx="88">
                    <c:v>sanramonci</c:v>
                  </c:pt>
                  <c:pt idx="89">
                    <c:v>santaclaraci</c:v>
                  </c:pt>
                  <c:pt idx="90">
                    <c:v>santaclaraco</c:v>
                  </c:pt>
                  <c:pt idx="91">
                    <c:v>santarosaci</c:v>
                  </c:pt>
                  <c:pt idx="92">
                    <c:v>Saratogaci</c:v>
                  </c:pt>
                  <c:pt idx="93">
                    <c:v>sausalitoci</c:v>
                  </c:pt>
                  <c:pt idx="94">
                    <c:v>sebastopolci</c:v>
                  </c:pt>
                  <c:pt idx="95">
                    <c:v>Solanoco</c:v>
                  </c:pt>
                  <c:pt idx="96">
                    <c:v>sonomaci</c:v>
                  </c:pt>
                  <c:pt idx="97">
                    <c:v>sonomaco</c:v>
                  </c:pt>
                  <c:pt idx="98">
                    <c:v>southsanfranci</c:v>
                  </c:pt>
                  <c:pt idx="99">
                    <c:v>suisunci</c:v>
                  </c:pt>
                  <c:pt idx="100">
                    <c:v>sunnyvaleci</c:v>
                  </c:pt>
                  <c:pt idx="101">
                    <c:v>tiburonci</c:v>
                  </c:pt>
                  <c:pt idx="102">
                    <c:v>unioncityci</c:v>
                  </c:pt>
                  <c:pt idx="103">
                    <c:v>vacavilleci</c:v>
                  </c:pt>
                  <c:pt idx="104">
                    <c:v>vallejoci</c:v>
                  </c:pt>
                  <c:pt idx="105">
                    <c:v>walnutcreekci</c:v>
                  </c:pt>
                  <c:pt idx="106">
                    <c:v>windsorci</c:v>
                  </c:pt>
                  <c:pt idx="107">
                    <c:v>woodsideci</c:v>
                  </c:pt>
                  <c:pt idx="108">
                    <c:v>yountvilleci</c:v>
                  </c:pt>
                </c:lvl>
              </c:multiLvlStrCache>
            </c:multiLvlStrRef>
          </c:xVal>
          <c:yVal>
            <c:numRef>
              <c:f>'MTC Regional PCIs 2022-2025'!$F$2:$F$110</c:f>
              <c:numCache>
                <c:formatCode>General</c:formatCode>
                <c:ptCount val="109"/>
                <c:pt idx="0">
                  <c:v>63</c:v>
                </c:pt>
                <c:pt idx="1">
                  <c:v>73</c:v>
                </c:pt>
                <c:pt idx="2">
                  <c:v>58</c:v>
                </c:pt>
                <c:pt idx="3">
                  <c:v>55</c:v>
                </c:pt>
                <c:pt idx="4">
                  <c:v>60</c:v>
                </c:pt>
                <c:pt idx="5">
                  <c:v>78</c:v>
                </c:pt>
                <c:pt idx="6">
                  <c:v>69</c:v>
                </c:pt>
                <c:pt idx="7">
                  <c:v>71</c:v>
                </c:pt>
                <c:pt idx="8">
                  <c:v>52</c:v>
                </c:pt>
                <c:pt idx="9">
                  <c:v>56</c:v>
                </c:pt>
                <c:pt idx="10">
                  <c:v>75</c:v>
                </c:pt>
                <c:pt idx="11">
                  <c:v>69</c:v>
                </c:pt>
                <c:pt idx="12">
                  <c:v>74</c:v>
                </c:pt>
                <c:pt idx="13">
                  <c:v>54</c:v>
                </c:pt>
                <c:pt idx="14">
                  <c:v>63</c:v>
                </c:pt>
                <c:pt idx="15">
                  <c:v>72</c:v>
                </c:pt>
                <c:pt idx="16">
                  <c:v>57</c:v>
                </c:pt>
                <c:pt idx="17">
                  <c:v>83</c:v>
                </c:pt>
                <c:pt idx="18">
                  <c:v>54</c:v>
                </c:pt>
                <c:pt idx="19">
                  <c:v>70</c:v>
                </c:pt>
                <c:pt idx="20">
                  <c:v>66</c:v>
                </c:pt>
                <c:pt idx="21">
                  <c:v>74</c:v>
                </c:pt>
                <c:pt idx="22">
                  <c:v>81</c:v>
                </c:pt>
                <c:pt idx="23">
                  <c:v>76</c:v>
                </c:pt>
                <c:pt idx="24">
                  <c:v>78</c:v>
                </c:pt>
                <c:pt idx="25">
                  <c:v>63</c:v>
                </c:pt>
                <c:pt idx="26">
                  <c:v>77</c:v>
                </c:pt>
                <c:pt idx="27">
                  <c:v>65</c:v>
                </c:pt>
                <c:pt idx="28">
                  <c:v>74</c:v>
                </c:pt>
                <c:pt idx="29">
                  <c:v>57</c:v>
                </c:pt>
                <c:pt idx="30">
                  <c:v>51</c:v>
                </c:pt>
                <c:pt idx="31">
                  <c:v>61</c:v>
                </c:pt>
                <c:pt idx="32">
                  <c:v>76</c:v>
                </c:pt>
                <c:pt idx="33">
                  <c:v>69</c:v>
                </c:pt>
                <c:pt idx="34">
                  <c:v>62</c:v>
                </c:pt>
                <c:pt idx="35">
                  <c:v>62</c:v>
                </c:pt>
                <c:pt idx="36">
                  <c:v>74</c:v>
                </c:pt>
                <c:pt idx="37">
                  <c:v>67</c:v>
                </c:pt>
                <c:pt idx="38">
                  <c:v>61</c:v>
                </c:pt>
                <c:pt idx="39">
                  <c:v>59</c:v>
                </c:pt>
                <c:pt idx="40">
                  <c:v>79</c:v>
                </c:pt>
                <c:pt idx="41">
                  <c:v>76</c:v>
                </c:pt>
                <c:pt idx="42">
                  <c:v>86</c:v>
                </c:pt>
                <c:pt idx="43">
                  <c:v>73</c:v>
                </c:pt>
                <c:pt idx="44">
                  <c:v>70</c:v>
                </c:pt>
                <c:pt idx="45">
                  <c:v>80</c:v>
                </c:pt>
                <c:pt idx="46">
                  <c:v>81</c:v>
                </c:pt>
                <c:pt idx="47">
                  <c:v>67</c:v>
                </c:pt>
                <c:pt idx="48">
                  <c:v>68</c:v>
                </c:pt>
                <c:pt idx="49">
                  <c:v>75</c:v>
                </c:pt>
                <c:pt idx="50">
                  <c:v>49</c:v>
                </c:pt>
                <c:pt idx="51">
                  <c:v>78</c:v>
                </c:pt>
                <c:pt idx="52">
                  <c:v>67</c:v>
                </c:pt>
                <c:pt idx="53">
                  <c:v>73</c:v>
                </c:pt>
                <c:pt idx="54">
                  <c:v>76</c:v>
                </c:pt>
                <c:pt idx="55">
                  <c:v>73</c:v>
                </c:pt>
                <c:pt idx="56">
                  <c:v>64</c:v>
                </c:pt>
                <c:pt idx="57">
                  <c:v>64</c:v>
                </c:pt>
                <c:pt idx="58">
                  <c:v>53</c:v>
                </c:pt>
                <c:pt idx="59">
                  <c:v>70</c:v>
                </c:pt>
                <c:pt idx="60">
                  <c:v>60</c:v>
                </c:pt>
                <c:pt idx="61">
                  <c:v>59</c:v>
                </c:pt>
                <c:pt idx="62">
                  <c:v>67</c:v>
                </c:pt>
                <c:pt idx="63">
                  <c:v>80</c:v>
                </c:pt>
                <c:pt idx="64">
                  <c:v>49</c:v>
                </c:pt>
                <c:pt idx="65">
                  <c:v>82</c:v>
                </c:pt>
                <c:pt idx="66">
                  <c:v>51</c:v>
                </c:pt>
                <c:pt idx="67">
                  <c:v>59</c:v>
                </c:pt>
                <c:pt idx="68">
                  <c:v>52</c:v>
                </c:pt>
                <c:pt idx="69">
                  <c:v>59</c:v>
                </c:pt>
                <c:pt idx="70">
                  <c:v>69</c:v>
                </c:pt>
                <c:pt idx="71">
                  <c:v>75</c:v>
                </c:pt>
                <c:pt idx="72">
                  <c:v>74</c:v>
                </c:pt>
                <c:pt idx="73">
                  <c:v>67</c:v>
                </c:pt>
                <c:pt idx="74">
                  <c:v>59</c:v>
                </c:pt>
                <c:pt idx="75">
                  <c:v>57</c:v>
                </c:pt>
                <c:pt idx="76">
                  <c:v>63</c:v>
                </c:pt>
                <c:pt idx="77">
                  <c:v>72</c:v>
                </c:pt>
                <c:pt idx="78">
                  <c:v>73</c:v>
                </c:pt>
                <c:pt idx="79">
                  <c:v>65</c:v>
                </c:pt>
                <c:pt idx="80">
                  <c:v>55</c:v>
                </c:pt>
                <c:pt idx="81">
                  <c:v>75</c:v>
                </c:pt>
                <c:pt idx="82">
                  <c:v>71</c:v>
                </c:pt>
                <c:pt idx="83">
                  <c:v>56</c:v>
                </c:pt>
                <c:pt idx="84">
                  <c:v>71</c:v>
                </c:pt>
                <c:pt idx="85">
                  <c:v>72</c:v>
                </c:pt>
                <c:pt idx="86">
                  <c:v>63</c:v>
                </c:pt>
                <c:pt idx="87">
                  <c:v>59</c:v>
                </c:pt>
                <c:pt idx="88">
                  <c:v>75</c:v>
                </c:pt>
                <c:pt idx="89">
                  <c:v>73</c:v>
                </c:pt>
                <c:pt idx="90">
                  <c:v>71</c:v>
                </c:pt>
                <c:pt idx="91">
                  <c:v>62</c:v>
                </c:pt>
                <c:pt idx="92">
                  <c:v>65</c:v>
                </c:pt>
                <c:pt idx="93">
                  <c:v>53</c:v>
                </c:pt>
                <c:pt idx="94">
                  <c:v>54</c:v>
                </c:pt>
                <c:pt idx="95">
                  <c:v>79</c:v>
                </c:pt>
                <c:pt idx="96">
                  <c:v>59</c:v>
                </c:pt>
                <c:pt idx="97">
                  <c:v>52</c:v>
                </c:pt>
                <c:pt idx="98">
                  <c:v>75</c:v>
                </c:pt>
                <c:pt idx="99">
                  <c:v>50</c:v>
                </c:pt>
                <c:pt idx="100">
                  <c:v>74</c:v>
                </c:pt>
                <c:pt idx="101">
                  <c:v>74</c:v>
                </c:pt>
                <c:pt idx="102">
                  <c:v>64</c:v>
                </c:pt>
                <c:pt idx="103">
                  <c:v>72</c:v>
                </c:pt>
                <c:pt idx="104">
                  <c:v>42</c:v>
                </c:pt>
                <c:pt idx="105">
                  <c:v>70</c:v>
                </c:pt>
                <c:pt idx="106">
                  <c:v>67</c:v>
                </c:pt>
                <c:pt idx="107">
                  <c:v>72</c:v>
                </c:pt>
                <c:pt idx="108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1B-4266-B04E-9ECD42EF86CD}"/>
            </c:ext>
          </c:extLst>
        </c:ser>
        <c:ser>
          <c:idx val="4"/>
          <c:order val="4"/>
          <c:tx>
            <c:strRef>
              <c:f>'MTC Regional PCIs 2022-2025'!$G$1</c:f>
              <c:strCache>
                <c:ptCount val="1"/>
                <c:pt idx="0">
                  <c:v>PCI Average 2022-2024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'MTC Regional PCIs 2022-2025'!$A$2:$B$110</c:f>
              <c:multiLvlStrCache>
                <c:ptCount val="109"/>
                <c:lvl>
                  <c:pt idx="0">
                    <c:v>Alameda County</c:v>
                  </c:pt>
                  <c:pt idx="1">
                    <c:v>Alameda County</c:v>
                  </c:pt>
                  <c:pt idx="2">
                    <c:v>Alameda County</c:v>
                  </c:pt>
                  <c:pt idx="3">
                    <c:v>Napa County</c:v>
                  </c:pt>
                  <c:pt idx="4">
                    <c:v>Contra Costa County</c:v>
                  </c:pt>
                  <c:pt idx="5">
                    <c:v>San Mateo County</c:v>
                  </c:pt>
                  <c:pt idx="6">
                    <c:v>San Mateo County</c:v>
                  </c:pt>
                  <c:pt idx="7">
                    <c:v>Marin County</c:v>
                  </c:pt>
                  <c:pt idx="8">
                    <c:v>Solano County</c:v>
                  </c:pt>
                  <c:pt idx="9">
                    <c:v>Alameda County</c:v>
                  </c:pt>
                  <c:pt idx="10">
                    <c:v>Contra Costa County</c:v>
                  </c:pt>
                  <c:pt idx="11">
                    <c:v>San Mateo County</c:v>
                  </c:pt>
                  <c:pt idx="12">
                    <c:v>San Mateo County</c:v>
                  </c:pt>
                  <c:pt idx="13">
                    <c:v>Napa County</c:v>
                  </c:pt>
                  <c:pt idx="14">
                    <c:v>Santa Clara County</c:v>
                  </c:pt>
                  <c:pt idx="15">
                    <c:v>Contra Costa County</c:v>
                  </c:pt>
                  <c:pt idx="16">
                    <c:v>Sonoma County</c:v>
                  </c:pt>
                  <c:pt idx="17">
                    <c:v>San Mateo County</c:v>
                  </c:pt>
                  <c:pt idx="18">
                    <c:v>Contra Costa County</c:v>
                  </c:pt>
                  <c:pt idx="19">
                    <c:v>Contra Costa County</c:v>
                  </c:pt>
                  <c:pt idx="20">
                    <c:v>Marin County</c:v>
                  </c:pt>
                  <c:pt idx="21">
                    <c:v>Sonoma County</c:v>
                  </c:pt>
                  <c:pt idx="22">
                    <c:v>Santa Clara County</c:v>
                  </c:pt>
                  <c:pt idx="23">
                    <c:v>San Mateo County</c:v>
                  </c:pt>
                  <c:pt idx="24">
                    <c:v>Contra Costa County</c:v>
                  </c:pt>
                  <c:pt idx="25">
                    <c:v>Solano County</c:v>
                  </c:pt>
                  <c:pt idx="26">
                    <c:v>Alameda County</c:v>
                  </c:pt>
                  <c:pt idx="27">
                    <c:v>Contra Costa County</c:v>
                  </c:pt>
                  <c:pt idx="28">
                    <c:v>Alameda County</c:v>
                  </c:pt>
                  <c:pt idx="29">
                    <c:v>San Mateo County</c:v>
                  </c:pt>
                  <c:pt idx="30">
                    <c:v>Marin County</c:v>
                  </c:pt>
                  <c:pt idx="31">
                    <c:v>Solano County</c:v>
                  </c:pt>
                  <c:pt idx="32">
                    <c:v>San Mateo County</c:v>
                  </c:pt>
                  <c:pt idx="33">
                    <c:v>Alameda County</c:v>
                  </c:pt>
                  <c:pt idx="34">
                    <c:v>Santa Clara County</c:v>
                  </c:pt>
                  <c:pt idx="35">
                    <c:v>San Mateo County</c:v>
                  </c:pt>
                  <c:pt idx="36">
                    <c:v>Alameda County</c:v>
                  </c:pt>
                  <c:pt idx="37">
                    <c:v>Sonoma County</c:v>
                  </c:pt>
                  <c:pt idx="38">
                    <c:v>Napa County</c:v>
                  </c:pt>
                  <c:pt idx="39">
                    <c:v>Contra Costa County</c:v>
                  </c:pt>
                  <c:pt idx="40">
                    <c:v>San Mateo County</c:v>
                  </c:pt>
                  <c:pt idx="41">
                    <c:v>Contra Costa County</c:v>
                  </c:pt>
                  <c:pt idx="42">
                    <c:v>Marin County</c:v>
                  </c:pt>
                  <c:pt idx="43">
                    <c:v>Alameda County</c:v>
                  </c:pt>
                  <c:pt idx="44">
                    <c:v>Santa Clara County</c:v>
                  </c:pt>
                  <c:pt idx="45">
                    <c:v>Santa Clara County</c:v>
                  </c:pt>
                  <c:pt idx="46">
                    <c:v>Santa Clara County</c:v>
                  </c:pt>
                  <c:pt idx="47">
                    <c:v>Marin County</c:v>
                  </c:pt>
                  <c:pt idx="48">
                    <c:v>Contra Costa County</c:v>
                  </c:pt>
                  <c:pt idx="49">
                    <c:v>San Mateo County</c:v>
                  </c:pt>
                  <c:pt idx="50">
                    <c:v>San Mateo County</c:v>
                  </c:pt>
                  <c:pt idx="51">
                    <c:v>Marin County</c:v>
                  </c:pt>
                  <c:pt idx="52">
                    <c:v>Santa Clara County</c:v>
                  </c:pt>
                  <c:pt idx="53">
                    <c:v>Santa Clara County</c:v>
                  </c:pt>
                  <c:pt idx="54">
                    <c:v>Contra Costa County</c:v>
                  </c:pt>
                  <c:pt idx="55">
                    <c:v>Santa Clara County</c:v>
                  </c:pt>
                  <c:pt idx="56">
                    <c:v>Santa Clara County</c:v>
                  </c:pt>
                  <c:pt idx="57">
                    <c:v>Napa County</c:v>
                  </c:pt>
                  <c:pt idx="58">
                    <c:v>Napa County</c:v>
                  </c:pt>
                  <c:pt idx="59">
                    <c:v>Alameda County</c:v>
                  </c:pt>
                  <c:pt idx="60">
                    <c:v>Marin County</c:v>
                  </c:pt>
                  <c:pt idx="61">
                    <c:v>Alameda County</c:v>
                  </c:pt>
                  <c:pt idx="62">
                    <c:v>Contra Costa County</c:v>
                  </c:pt>
                  <c:pt idx="63">
                    <c:v>Contra Costa County</c:v>
                  </c:pt>
                  <c:pt idx="64">
                    <c:v>San Mateo County</c:v>
                  </c:pt>
                  <c:pt idx="65">
                    <c:v>Santa Clara County</c:v>
                  </c:pt>
                  <c:pt idx="66">
                    <c:v>Sonoma County</c:v>
                  </c:pt>
                  <c:pt idx="67">
                    <c:v>Alameda County</c:v>
                  </c:pt>
                  <c:pt idx="68">
                    <c:v>Contra Costa County</c:v>
                  </c:pt>
                  <c:pt idx="69">
                    <c:v>Contra Costa County</c:v>
                  </c:pt>
                  <c:pt idx="70">
                    <c:v>Contra Costa County</c:v>
                  </c:pt>
                  <c:pt idx="71">
                    <c:v>Alameda County</c:v>
                  </c:pt>
                  <c:pt idx="72">
                    <c:v>San Mateo County</c:v>
                  </c:pt>
                  <c:pt idx="73">
                    <c:v>San Mateo County</c:v>
                  </c:pt>
                  <c:pt idx="74">
                    <c:v>Contra Costa County</c:v>
                  </c:pt>
                  <c:pt idx="75">
                    <c:v>Solano County</c:v>
                  </c:pt>
                  <c:pt idx="76">
                    <c:v>Sonoma County</c:v>
                  </c:pt>
                  <c:pt idx="77">
                    <c:v>Marin County</c:v>
                  </c:pt>
                  <c:pt idx="78">
                    <c:v>Marin County</c:v>
                  </c:pt>
                  <c:pt idx="79">
                    <c:v>San Mateo County</c:v>
                  </c:pt>
                  <c:pt idx="80">
                    <c:v>San Mateo County</c:v>
                  </c:pt>
                  <c:pt idx="81">
                    <c:v>San Francisco County</c:v>
                  </c:pt>
                  <c:pt idx="82">
                    <c:v>Santa Clara County</c:v>
                  </c:pt>
                  <c:pt idx="83">
                    <c:v>Alameda County</c:v>
                  </c:pt>
                  <c:pt idx="84">
                    <c:v>San Mateo County</c:v>
                  </c:pt>
                  <c:pt idx="85">
                    <c:v>San Mateo County</c:v>
                  </c:pt>
                  <c:pt idx="86">
                    <c:v>Contra Costa County</c:v>
                  </c:pt>
                  <c:pt idx="87">
                    <c:v>Marin County</c:v>
                  </c:pt>
                  <c:pt idx="88">
                    <c:v>Contra Costa County</c:v>
                  </c:pt>
                  <c:pt idx="89">
                    <c:v>Santa Clara County</c:v>
                  </c:pt>
                  <c:pt idx="90">
                    <c:v>Santa Clara County</c:v>
                  </c:pt>
                  <c:pt idx="91">
                    <c:v>Sonoma County</c:v>
                  </c:pt>
                  <c:pt idx="92">
                    <c:v>Santa Clara County</c:v>
                  </c:pt>
                  <c:pt idx="93">
                    <c:v>Marin County</c:v>
                  </c:pt>
                  <c:pt idx="94">
                    <c:v>Sonoma County</c:v>
                  </c:pt>
                  <c:pt idx="95">
                    <c:v>Solano County</c:v>
                  </c:pt>
                  <c:pt idx="96">
                    <c:v>Sonoma County</c:v>
                  </c:pt>
                  <c:pt idx="97">
                    <c:v>Sonoma County</c:v>
                  </c:pt>
                  <c:pt idx="98">
                    <c:v>San Mateo County</c:v>
                  </c:pt>
                  <c:pt idx="99">
                    <c:v>Solano County</c:v>
                  </c:pt>
                  <c:pt idx="100">
                    <c:v>Santa Clara County</c:v>
                  </c:pt>
                  <c:pt idx="101">
                    <c:v>Marin County</c:v>
                  </c:pt>
                  <c:pt idx="102">
                    <c:v>Alameda County</c:v>
                  </c:pt>
                  <c:pt idx="103">
                    <c:v>Solano County</c:v>
                  </c:pt>
                  <c:pt idx="104">
                    <c:v>Solano County</c:v>
                  </c:pt>
                  <c:pt idx="105">
                    <c:v>Contra Costa County</c:v>
                  </c:pt>
                  <c:pt idx="106">
                    <c:v>Sonoma County</c:v>
                  </c:pt>
                  <c:pt idx="107">
                    <c:v>San Mateo County</c:v>
                  </c:pt>
                  <c:pt idx="108">
                    <c:v>Napa County</c:v>
                  </c:pt>
                </c:lvl>
                <c:lvl>
                  <c:pt idx="0">
                    <c:v>alamedaci</c:v>
                  </c:pt>
                  <c:pt idx="1">
                    <c:v>alamedaco</c:v>
                  </c:pt>
                  <c:pt idx="2">
                    <c:v>albanyci</c:v>
                  </c:pt>
                  <c:pt idx="3">
                    <c:v>AmericanCanyonci</c:v>
                  </c:pt>
                  <c:pt idx="4">
                    <c:v>antiochci</c:v>
                  </c:pt>
                  <c:pt idx="5">
                    <c:v>athertonci</c:v>
                  </c:pt>
                  <c:pt idx="6">
                    <c:v>Belmontci</c:v>
                  </c:pt>
                  <c:pt idx="7">
                    <c:v>belvedereci</c:v>
                  </c:pt>
                  <c:pt idx="8">
                    <c:v>beniciaci</c:v>
                  </c:pt>
                  <c:pt idx="9">
                    <c:v>berkeleyci</c:v>
                  </c:pt>
                  <c:pt idx="10">
                    <c:v>brentwoodci</c:v>
                  </c:pt>
                  <c:pt idx="11">
                    <c:v>brisbaneci</c:v>
                  </c:pt>
                  <c:pt idx="12">
                    <c:v>burlingameci</c:v>
                  </c:pt>
                  <c:pt idx="13">
                    <c:v>calistogaci</c:v>
                  </c:pt>
                  <c:pt idx="14">
                    <c:v>campbellci</c:v>
                  </c:pt>
                  <c:pt idx="15">
                    <c:v>claytonci</c:v>
                  </c:pt>
                  <c:pt idx="16">
                    <c:v>cloverdaleci</c:v>
                  </c:pt>
                  <c:pt idx="17">
                    <c:v>colmaci</c:v>
                  </c:pt>
                  <c:pt idx="18">
                    <c:v>concordci</c:v>
                  </c:pt>
                  <c:pt idx="19">
                    <c:v>contracostaco</c:v>
                  </c:pt>
                  <c:pt idx="20">
                    <c:v>cortemaderaci</c:v>
                  </c:pt>
                  <c:pt idx="21">
                    <c:v>cotatici</c:v>
                  </c:pt>
                  <c:pt idx="22">
                    <c:v>cupertinoci</c:v>
                  </c:pt>
                  <c:pt idx="23">
                    <c:v>dalyci</c:v>
                  </c:pt>
                  <c:pt idx="24">
                    <c:v>danvilleci</c:v>
                  </c:pt>
                  <c:pt idx="25">
                    <c:v>dixonci</c:v>
                  </c:pt>
                  <c:pt idx="26">
                    <c:v>dublinci</c:v>
                  </c:pt>
                  <c:pt idx="27">
                    <c:v>elcerritoci</c:v>
                  </c:pt>
                  <c:pt idx="28">
                    <c:v>emeryvilleci</c:v>
                  </c:pt>
                  <c:pt idx="29">
                    <c:v>epaloaltoci</c:v>
                  </c:pt>
                  <c:pt idx="30">
                    <c:v>fairfaxci</c:v>
                  </c:pt>
                  <c:pt idx="31">
                    <c:v>fairfieldci</c:v>
                  </c:pt>
                  <c:pt idx="32">
                    <c:v>fostercityci</c:v>
                  </c:pt>
                  <c:pt idx="33">
                    <c:v>fremontci</c:v>
                  </c:pt>
                  <c:pt idx="34">
                    <c:v>gilroyci</c:v>
                  </c:pt>
                  <c:pt idx="35">
                    <c:v>halfmoonbayci</c:v>
                  </c:pt>
                  <c:pt idx="36">
                    <c:v>haywardci</c:v>
                  </c:pt>
                  <c:pt idx="37">
                    <c:v>healdsburgci</c:v>
                  </c:pt>
                  <c:pt idx="38">
                    <c:v>helenaci</c:v>
                  </c:pt>
                  <c:pt idx="39">
                    <c:v>herculesci</c:v>
                  </c:pt>
                  <c:pt idx="40">
                    <c:v>hillsboroughci</c:v>
                  </c:pt>
                  <c:pt idx="41">
                    <c:v>lafayetteci</c:v>
                  </c:pt>
                  <c:pt idx="42">
                    <c:v>larkspurci</c:v>
                  </c:pt>
                  <c:pt idx="43">
                    <c:v>livermoreci</c:v>
                  </c:pt>
                  <c:pt idx="44">
                    <c:v>losaltosci</c:v>
                  </c:pt>
                  <c:pt idx="45">
                    <c:v>losaltoshillsci</c:v>
                  </c:pt>
                  <c:pt idx="46">
                    <c:v>losgatosci</c:v>
                  </c:pt>
                  <c:pt idx="47">
                    <c:v>marinco</c:v>
                  </c:pt>
                  <c:pt idx="48">
                    <c:v>martinezci</c:v>
                  </c:pt>
                  <c:pt idx="49">
                    <c:v>menloparkci</c:v>
                  </c:pt>
                  <c:pt idx="50">
                    <c:v>millbraeci</c:v>
                  </c:pt>
                  <c:pt idx="51">
                    <c:v>millvalleyci</c:v>
                  </c:pt>
                  <c:pt idx="52">
                    <c:v>milpitasci</c:v>
                  </c:pt>
                  <c:pt idx="53">
                    <c:v>MonteSerenoci</c:v>
                  </c:pt>
                  <c:pt idx="54">
                    <c:v>moragaci</c:v>
                  </c:pt>
                  <c:pt idx="55">
                    <c:v>morganhillci</c:v>
                  </c:pt>
                  <c:pt idx="56">
                    <c:v>mtnviewci</c:v>
                  </c:pt>
                  <c:pt idx="57">
                    <c:v>napaci</c:v>
                  </c:pt>
                  <c:pt idx="58">
                    <c:v>napaco</c:v>
                  </c:pt>
                  <c:pt idx="59">
                    <c:v>newarkci</c:v>
                  </c:pt>
                  <c:pt idx="60">
                    <c:v>novatoci</c:v>
                  </c:pt>
                  <c:pt idx="61">
                    <c:v>oaklandci</c:v>
                  </c:pt>
                  <c:pt idx="62">
                    <c:v>oakleyci</c:v>
                  </c:pt>
                  <c:pt idx="63">
                    <c:v>orindaci</c:v>
                  </c:pt>
                  <c:pt idx="64">
                    <c:v>pacificaci</c:v>
                  </c:pt>
                  <c:pt idx="65">
                    <c:v>paloaltoci</c:v>
                  </c:pt>
                  <c:pt idx="66">
                    <c:v>petalumaci</c:v>
                  </c:pt>
                  <c:pt idx="67">
                    <c:v>piedmontci</c:v>
                  </c:pt>
                  <c:pt idx="68">
                    <c:v>pinoleci</c:v>
                  </c:pt>
                  <c:pt idx="69">
                    <c:v>pittsburgci</c:v>
                  </c:pt>
                  <c:pt idx="70">
                    <c:v>pleasanthillci</c:v>
                  </c:pt>
                  <c:pt idx="71">
                    <c:v>pleasantonci</c:v>
                  </c:pt>
                  <c:pt idx="72">
                    <c:v>PortolaValleyci</c:v>
                  </c:pt>
                  <c:pt idx="73">
                    <c:v>redwoodci</c:v>
                  </c:pt>
                  <c:pt idx="74">
                    <c:v>richmondci</c:v>
                  </c:pt>
                  <c:pt idx="75">
                    <c:v>RioVistaci</c:v>
                  </c:pt>
                  <c:pt idx="76">
                    <c:v>rohnertparkci</c:v>
                  </c:pt>
                  <c:pt idx="77">
                    <c:v>rossci</c:v>
                  </c:pt>
                  <c:pt idx="78">
                    <c:v>sananselmoci</c:v>
                  </c:pt>
                  <c:pt idx="79">
                    <c:v>sanbrunoci</c:v>
                  </c:pt>
                  <c:pt idx="80">
                    <c:v>sancarlosci</c:v>
                  </c:pt>
                  <c:pt idx="81">
                    <c:v>SanFranci</c:v>
                  </c:pt>
                  <c:pt idx="82">
                    <c:v>sanjoseci</c:v>
                  </c:pt>
                  <c:pt idx="83">
                    <c:v>sanleandroci</c:v>
                  </c:pt>
                  <c:pt idx="84">
                    <c:v>sanmateoci</c:v>
                  </c:pt>
                  <c:pt idx="85">
                    <c:v>sanmateoco</c:v>
                  </c:pt>
                  <c:pt idx="86">
                    <c:v>sanpabloci</c:v>
                  </c:pt>
                  <c:pt idx="87">
                    <c:v>sanrafaelci</c:v>
                  </c:pt>
                  <c:pt idx="88">
                    <c:v>sanramonci</c:v>
                  </c:pt>
                  <c:pt idx="89">
                    <c:v>santaclaraci</c:v>
                  </c:pt>
                  <c:pt idx="90">
                    <c:v>santaclaraco</c:v>
                  </c:pt>
                  <c:pt idx="91">
                    <c:v>santarosaci</c:v>
                  </c:pt>
                  <c:pt idx="92">
                    <c:v>Saratogaci</c:v>
                  </c:pt>
                  <c:pt idx="93">
                    <c:v>sausalitoci</c:v>
                  </c:pt>
                  <c:pt idx="94">
                    <c:v>sebastopolci</c:v>
                  </c:pt>
                  <c:pt idx="95">
                    <c:v>Solanoco</c:v>
                  </c:pt>
                  <c:pt idx="96">
                    <c:v>sonomaci</c:v>
                  </c:pt>
                  <c:pt idx="97">
                    <c:v>sonomaco</c:v>
                  </c:pt>
                  <c:pt idx="98">
                    <c:v>southsanfranci</c:v>
                  </c:pt>
                  <c:pt idx="99">
                    <c:v>suisunci</c:v>
                  </c:pt>
                  <c:pt idx="100">
                    <c:v>sunnyvaleci</c:v>
                  </c:pt>
                  <c:pt idx="101">
                    <c:v>tiburonci</c:v>
                  </c:pt>
                  <c:pt idx="102">
                    <c:v>unioncityci</c:v>
                  </c:pt>
                  <c:pt idx="103">
                    <c:v>vacavilleci</c:v>
                  </c:pt>
                  <c:pt idx="104">
                    <c:v>vallejoci</c:v>
                  </c:pt>
                  <c:pt idx="105">
                    <c:v>walnutcreekci</c:v>
                  </c:pt>
                  <c:pt idx="106">
                    <c:v>windsorci</c:v>
                  </c:pt>
                  <c:pt idx="107">
                    <c:v>woodsideci</c:v>
                  </c:pt>
                  <c:pt idx="108">
                    <c:v>yountvilleci</c:v>
                  </c:pt>
                </c:lvl>
              </c:multiLvlStrCache>
            </c:multiLvlStrRef>
          </c:xVal>
          <c:yVal>
            <c:numRef>
              <c:f>'MTC Regional PCIs 2022-2025'!$G$2:$G$110</c:f>
              <c:numCache>
                <c:formatCode>0.00</c:formatCode>
                <c:ptCount val="109"/>
                <c:pt idx="0">
                  <c:v>65.333333333333329</c:v>
                </c:pt>
                <c:pt idx="1">
                  <c:v>73.333333333333329</c:v>
                </c:pt>
                <c:pt idx="2">
                  <c:v>58.666666666666664</c:v>
                </c:pt>
                <c:pt idx="3">
                  <c:v>58.333333333333336</c:v>
                </c:pt>
                <c:pt idx="4">
                  <c:v>63</c:v>
                </c:pt>
                <c:pt idx="5">
                  <c:v>75.666666666666671</c:v>
                </c:pt>
                <c:pt idx="6">
                  <c:v>67.666666666666671</c:v>
                </c:pt>
                <c:pt idx="7">
                  <c:v>71.666666666666671</c:v>
                </c:pt>
                <c:pt idx="8">
                  <c:v>53.333333333333336</c:v>
                </c:pt>
                <c:pt idx="9">
                  <c:v>56</c:v>
                </c:pt>
                <c:pt idx="10">
                  <c:v>77.666666666666671</c:v>
                </c:pt>
                <c:pt idx="11">
                  <c:v>72.333333333333329</c:v>
                </c:pt>
                <c:pt idx="12">
                  <c:v>76</c:v>
                </c:pt>
                <c:pt idx="13">
                  <c:v>57</c:v>
                </c:pt>
                <c:pt idx="14">
                  <c:v>66.333333333333329</c:v>
                </c:pt>
                <c:pt idx="15">
                  <c:v>76</c:v>
                </c:pt>
                <c:pt idx="16">
                  <c:v>58.666666666666664</c:v>
                </c:pt>
                <c:pt idx="17">
                  <c:v>78</c:v>
                </c:pt>
                <c:pt idx="18">
                  <c:v>55.333333333333336</c:v>
                </c:pt>
                <c:pt idx="19">
                  <c:v>71.333333333333329</c:v>
                </c:pt>
                <c:pt idx="20">
                  <c:v>67.333333333333329</c:v>
                </c:pt>
                <c:pt idx="21">
                  <c:v>71.666666666666671</c:v>
                </c:pt>
                <c:pt idx="22">
                  <c:v>81.666666666666671</c:v>
                </c:pt>
                <c:pt idx="23">
                  <c:v>78.333333333333329</c:v>
                </c:pt>
                <c:pt idx="24">
                  <c:v>78</c:v>
                </c:pt>
                <c:pt idx="25">
                  <c:v>64.666666666666671</c:v>
                </c:pt>
                <c:pt idx="26">
                  <c:v>77.666666666666671</c:v>
                </c:pt>
                <c:pt idx="27">
                  <c:v>67.666666666666671</c:v>
                </c:pt>
                <c:pt idx="28">
                  <c:v>78.333333333333329</c:v>
                </c:pt>
                <c:pt idx="29">
                  <c:v>59.666666666666664</c:v>
                </c:pt>
                <c:pt idx="30">
                  <c:v>53.333333333333336</c:v>
                </c:pt>
                <c:pt idx="31">
                  <c:v>64</c:v>
                </c:pt>
                <c:pt idx="32">
                  <c:v>77.333333333333329</c:v>
                </c:pt>
                <c:pt idx="33">
                  <c:v>70.666666666666671</c:v>
                </c:pt>
                <c:pt idx="34">
                  <c:v>63</c:v>
                </c:pt>
                <c:pt idx="35">
                  <c:v>64.333333333333329</c:v>
                </c:pt>
                <c:pt idx="36">
                  <c:v>73</c:v>
                </c:pt>
                <c:pt idx="37">
                  <c:v>70</c:v>
                </c:pt>
                <c:pt idx="38">
                  <c:v>54.333333333333336</c:v>
                </c:pt>
                <c:pt idx="39">
                  <c:v>62</c:v>
                </c:pt>
                <c:pt idx="40">
                  <c:v>81.333333333333329</c:v>
                </c:pt>
                <c:pt idx="41">
                  <c:v>75</c:v>
                </c:pt>
                <c:pt idx="42">
                  <c:v>87</c:v>
                </c:pt>
                <c:pt idx="43">
                  <c:v>75.333333333333329</c:v>
                </c:pt>
                <c:pt idx="44">
                  <c:v>73</c:v>
                </c:pt>
                <c:pt idx="45">
                  <c:v>79.666666666666671</c:v>
                </c:pt>
                <c:pt idx="46">
                  <c:v>76.666666666666671</c:v>
                </c:pt>
                <c:pt idx="47">
                  <c:v>67</c:v>
                </c:pt>
                <c:pt idx="48">
                  <c:v>69</c:v>
                </c:pt>
                <c:pt idx="49">
                  <c:v>76</c:v>
                </c:pt>
                <c:pt idx="50">
                  <c:v>52</c:v>
                </c:pt>
                <c:pt idx="51">
                  <c:v>76.333333333333329</c:v>
                </c:pt>
                <c:pt idx="52">
                  <c:v>69</c:v>
                </c:pt>
                <c:pt idx="53">
                  <c:v>72</c:v>
                </c:pt>
                <c:pt idx="54">
                  <c:v>73.666666666666671</c:v>
                </c:pt>
                <c:pt idx="55">
                  <c:v>74.666666666666671</c:v>
                </c:pt>
                <c:pt idx="56">
                  <c:v>66.666666666666671</c:v>
                </c:pt>
                <c:pt idx="57">
                  <c:v>62.666666666666664</c:v>
                </c:pt>
                <c:pt idx="58">
                  <c:v>50.333333333333336</c:v>
                </c:pt>
                <c:pt idx="59">
                  <c:v>71.333333333333329</c:v>
                </c:pt>
                <c:pt idx="60">
                  <c:v>63.333333333333336</c:v>
                </c:pt>
                <c:pt idx="61">
                  <c:v>57.666666666666664</c:v>
                </c:pt>
                <c:pt idx="62">
                  <c:v>69.666666666666671</c:v>
                </c:pt>
                <c:pt idx="63">
                  <c:v>82</c:v>
                </c:pt>
                <c:pt idx="64">
                  <c:v>49.666666666666664</c:v>
                </c:pt>
                <c:pt idx="65">
                  <c:v>83.333333333333329</c:v>
                </c:pt>
                <c:pt idx="66">
                  <c:v>50</c:v>
                </c:pt>
                <c:pt idx="67">
                  <c:v>62</c:v>
                </c:pt>
                <c:pt idx="68">
                  <c:v>54.666666666666664</c:v>
                </c:pt>
                <c:pt idx="69">
                  <c:v>59.333333333333336</c:v>
                </c:pt>
                <c:pt idx="70">
                  <c:v>71.666666666666671</c:v>
                </c:pt>
                <c:pt idx="71">
                  <c:v>76.333333333333329</c:v>
                </c:pt>
                <c:pt idx="72">
                  <c:v>76</c:v>
                </c:pt>
                <c:pt idx="73">
                  <c:v>68.333333333333329</c:v>
                </c:pt>
                <c:pt idx="74">
                  <c:v>59.333333333333336</c:v>
                </c:pt>
                <c:pt idx="75">
                  <c:v>59.666666666666664</c:v>
                </c:pt>
                <c:pt idx="76">
                  <c:v>65.333333333333329</c:v>
                </c:pt>
                <c:pt idx="77">
                  <c:v>75</c:v>
                </c:pt>
                <c:pt idx="78">
                  <c:v>72</c:v>
                </c:pt>
                <c:pt idx="79">
                  <c:v>62.333333333333336</c:v>
                </c:pt>
                <c:pt idx="80">
                  <c:v>56.666666666666664</c:v>
                </c:pt>
                <c:pt idx="81">
                  <c:v>74.666666666666671</c:v>
                </c:pt>
                <c:pt idx="82">
                  <c:v>72.666666666666671</c:v>
                </c:pt>
                <c:pt idx="83">
                  <c:v>56.666666666666664</c:v>
                </c:pt>
                <c:pt idx="84">
                  <c:v>71.666666666666671</c:v>
                </c:pt>
                <c:pt idx="85">
                  <c:v>74.333333333333329</c:v>
                </c:pt>
                <c:pt idx="86">
                  <c:v>65.333333333333329</c:v>
                </c:pt>
                <c:pt idx="87">
                  <c:v>61</c:v>
                </c:pt>
                <c:pt idx="88">
                  <c:v>77</c:v>
                </c:pt>
                <c:pt idx="89">
                  <c:v>74</c:v>
                </c:pt>
                <c:pt idx="90">
                  <c:v>66</c:v>
                </c:pt>
                <c:pt idx="91">
                  <c:v>60.666666666666664</c:v>
                </c:pt>
                <c:pt idx="92">
                  <c:v>67.333333333333329</c:v>
                </c:pt>
                <c:pt idx="93">
                  <c:v>57</c:v>
                </c:pt>
                <c:pt idx="94">
                  <c:v>54</c:v>
                </c:pt>
                <c:pt idx="95">
                  <c:v>81</c:v>
                </c:pt>
                <c:pt idx="96">
                  <c:v>63.333333333333336</c:v>
                </c:pt>
                <c:pt idx="97">
                  <c:v>54</c:v>
                </c:pt>
                <c:pt idx="98">
                  <c:v>76.333333333333329</c:v>
                </c:pt>
                <c:pt idx="99">
                  <c:v>53</c:v>
                </c:pt>
                <c:pt idx="100">
                  <c:v>75</c:v>
                </c:pt>
                <c:pt idx="101">
                  <c:v>73</c:v>
                </c:pt>
                <c:pt idx="102">
                  <c:v>67</c:v>
                </c:pt>
                <c:pt idx="103">
                  <c:v>73.333333333333329</c:v>
                </c:pt>
                <c:pt idx="104">
                  <c:v>44.333333333333336</c:v>
                </c:pt>
                <c:pt idx="105">
                  <c:v>70</c:v>
                </c:pt>
                <c:pt idx="106">
                  <c:v>70.333333333333329</c:v>
                </c:pt>
                <c:pt idx="107">
                  <c:v>74</c:v>
                </c:pt>
                <c:pt idx="108">
                  <c:v>79.333333333333329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1B-4266-B04E-9ECD42EF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92319"/>
        <c:axId val="75419087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'MTC Regional PCIs 2022-2025'!$C$1</c15:sqref>
                        </c15:formulaRef>
                      </c:ext>
                    </c:extLst>
                    <c:strCache>
                      <c:ptCount val="1"/>
                      <c:pt idx="0">
                        <c:v>12/31/2022 PCI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'MTC Regional PCIs 2022-2025'!$A$2:$B$110</c15:sqref>
                        </c15:formulaRef>
                      </c:ext>
                    </c:extLst>
                    <c:multiLvlStrCache>
                      <c:ptCount val="109"/>
                      <c:lvl>
                        <c:pt idx="0">
                          <c:v>Alameda County</c:v>
                        </c:pt>
                        <c:pt idx="1">
                          <c:v>Alameda County</c:v>
                        </c:pt>
                        <c:pt idx="2">
                          <c:v>Alameda County</c:v>
                        </c:pt>
                        <c:pt idx="3">
                          <c:v>Napa County</c:v>
                        </c:pt>
                        <c:pt idx="4">
                          <c:v>Contra Costa County</c:v>
                        </c:pt>
                        <c:pt idx="5">
                          <c:v>San Mateo County</c:v>
                        </c:pt>
                        <c:pt idx="6">
                          <c:v>San Mateo County</c:v>
                        </c:pt>
                        <c:pt idx="7">
                          <c:v>Marin County</c:v>
                        </c:pt>
                        <c:pt idx="8">
                          <c:v>Solano County</c:v>
                        </c:pt>
                        <c:pt idx="9">
                          <c:v>Alameda County</c:v>
                        </c:pt>
                        <c:pt idx="10">
                          <c:v>Contra Costa County</c:v>
                        </c:pt>
                        <c:pt idx="11">
                          <c:v>San Mateo County</c:v>
                        </c:pt>
                        <c:pt idx="12">
                          <c:v>San Mateo County</c:v>
                        </c:pt>
                        <c:pt idx="13">
                          <c:v>Napa County</c:v>
                        </c:pt>
                        <c:pt idx="14">
                          <c:v>Santa Clara County</c:v>
                        </c:pt>
                        <c:pt idx="15">
                          <c:v>Contra Costa County</c:v>
                        </c:pt>
                        <c:pt idx="16">
                          <c:v>Sonoma County</c:v>
                        </c:pt>
                        <c:pt idx="17">
                          <c:v>San Mateo County</c:v>
                        </c:pt>
                        <c:pt idx="18">
                          <c:v>Contra Costa County</c:v>
                        </c:pt>
                        <c:pt idx="19">
                          <c:v>Contra Costa County</c:v>
                        </c:pt>
                        <c:pt idx="20">
                          <c:v>Marin County</c:v>
                        </c:pt>
                        <c:pt idx="21">
                          <c:v>Sonoma County</c:v>
                        </c:pt>
                        <c:pt idx="22">
                          <c:v>Santa Clara County</c:v>
                        </c:pt>
                        <c:pt idx="23">
                          <c:v>San Mateo County</c:v>
                        </c:pt>
                        <c:pt idx="24">
                          <c:v>Contra Costa County</c:v>
                        </c:pt>
                        <c:pt idx="25">
                          <c:v>Solano County</c:v>
                        </c:pt>
                        <c:pt idx="26">
                          <c:v>Alameda County</c:v>
                        </c:pt>
                        <c:pt idx="27">
                          <c:v>Contra Costa County</c:v>
                        </c:pt>
                        <c:pt idx="28">
                          <c:v>Alameda County</c:v>
                        </c:pt>
                        <c:pt idx="29">
                          <c:v>San Mateo County</c:v>
                        </c:pt>
                        <c:pt idx="30">
                          <c:v>Marin County</c:v>
                        </c:pt>
                        <c:pt idx="31">
                          <c:v>Solano County</c:v>
                        </c:pt>
                        <c:pt idx="32">
                          <c:v>San Mateo County</c:v>
                        </c:pt>
                        <c:pt idx="33">
                          <c:v>Alameda County</c:v>
                        </c:pt>
                        <c:pt idx="34">
                          <c:v>Santa Clara County</c:v>
                        </c:pt>
                        <c:pt idx="35">
                          <c:v>San Mateo County</c:v>
                        </c:pt>
                        <c:pt idx="36">
                          <c:v>Alameda County</c:v>
                        </c:pt>
                        <c:pt idx="37">
                          <c:v>Sonoma County</c:v>
                        </c:pt>
                        <c:pt idx="38">
                          <c:v>Napa County</c:v>
                        </c:pt>
                        <c:pt idx="39">
                          <c:v>Contra Costa County</c:v>
                        </c:pt>
                        <c:pt idx="40">
                          <c:v>San Mateo County</c:v>
                        </c:pt>
                        <c:pt idx="41">
                          <c:v>Contra Costa County</c:v>
                        </c:pt>
                        <c:pt idx="42">
                          <c:v>Marin County</c:v>
                        </c:pt>
                        <c:pt idx="43">
                          <c:v>Alameda County</c:v>
                        </c:pt>
                        <c:pt idx="44">
                          <c:v>Santa Clara County</c:v>
                        </c:pt>
                        <c:pt idx="45">
                          <c:v>Santa Clara County</c:v>
                        </c:pt>
                        <c:pt idx="46">
                          <c:v>Santa Clara County</c:v>
                        </c:pt>
                        <c:pt idx="47">
                          <c:v>Marin County</c:v>
                        </c:pt>
                        <c:pt idx="48">
                          <c:v>Contra Costa County</c:v>
                        </c:pt>
                        <c:pt idx="49">
                          <c:v>San Mateo County</c:v>
                        </c:pt>
                        <c:pt idx="50">
                          <c:v>San Mateo County</c:v>
                        </c:pt>
                        <c:pt idx="51">
                          <c:v>Marin County</c:v>
                        </c:pt>
                        <c:pt idx="52">
                          <c:v>Santa Clara County</c:v>
                        </c:pt>
                        <c:pt idx="53">
                          <c:v>Santa Clara County</c:v>
                        </c:pt>
                        <c:pt idx="54">
                          <c:v>Contra Costa County</c:v>
                        </c:pt>
                        <c:pt idx="55">
                          <c:v>Santa Clara County</c:v>
                        </c:pt>
                        <c:pt idx="56">
                          <c:v>Santa Clara County</c:v>
                        </c:pt>
                        <c:pt idx="57">
                          <c:v>Napa County</c:v>
                        </c:pt>
                        <c:pt idx="58">
                          <c:v>Napa County</c:v>
                        </c:pt>
                        <c:pt idx="59">
                          <c:v>Alameda County</c:v>
                        </c:pt>
                        <c:pt idx="60">
                          <c:v>Marin County</c:v>
                        </c:pt>
                        <c:pt idx="61">
                          <c:v>Alameda County</c:v>
                        </c:pt>
                        <c:pt idx="62">
                          <c:v>Contra Costa County</c:v>
                        </c:pt>
                        <c:pt idx="63">
                          <c:v>Contra Costa County</c:v>
                        </c:pt>
                        <c:pt idx="64">
                          <c:v>San Mateo County</c:v>
                        </c:pt>
                        <c:pt idx="65">
                          <c:v>Santa Clara County</c:v>
                        </c:pt>
                        <c:pt idx="66">
                          <c:v>Sonoma County</c:v>
                        </c:pt>
                        <c:pt idx="67">
                          <c:v>Alameda County</c:v>
                        </c:pt>
                        <c:pt idx="68">
                          <c:v>Contra Costa County</c:v>
                        </c:pt>
                        <c:pt idx="69">
                          <c:v>Contra Costa County</c:v>
                        </c:pt>
                        <c:pt idx="70">
                          <c:v>Contra Costa County</c:v>
                        </c:pt>
                        <c:pt idx="71">
                          <c:v>Alameda County</c:v>
                        </c:pt>
                        <c:pt idx="72">
                          <c:v>San Mateo County</c:v>
                        </c:pt>
                        <c:pt idx="73">
                          <c:v>San Mateo County</c:v>
                        </c:pt>
                        <c:pt idx="74">
                          <c:v>Contra Costa County</c:v>
                        </c:pt>
                        <c:pt idx="75">
                          <c:v>Solano County</c:v>
                        </c:pt>
                        <c:pt idx="76">
                          <c:v>Sonoma County</c:v>
                        </c:pt>
                        <c:pt idx="77">
                          <c:v>Marin County</c:v>
                        </c:pt>
                        <c:pt idx="78">
                          <c:v>Marin County</c:v>
                        </c:pt>
                        <c:pt idx="79">
                          <c:v>San Mateo County</c:v>
                        </c:pt>
                        <c:pt idx="80">
                          <c:v>San Mateo County</c:v>
                        </c:pt>
                        <c:pt idx="81">
                          <c:v>San Francisco County</c:v>
                        </c:pt>
                        <c:pt idx="82">
                          <c:v>Santa Clara County</c:v>
                        </c:pt>
                        <c:pt idx="83">
                          <c:v>Alameda County</c:v>
                        </c:pt>
                        <c:pt idx="84">
                          <c:v>San Mateo County</c:v>
                        </c:pt>
                        <c:pt idx="85">
                          <c:v>San Mateo County</c:v>
                        </c:pt>
                        <c:pt idx="86">
                          <c:v>Contra Costa County</c:v>
                        </c:pt>
                        <c:pt idx="87">
                          <c:v>Marin County</c:v>
                        </c:pt>
                        <c:pt idx="88">
                          <c:v>Contra Costa County</c:v>
                        </c:pt>
                        <c:pt idx="89">
                          <c:v>Santa Clara County</c:v>
                        </c:pt>
                        <c:pt idx="90">
                          <c:v>Santa Clara County</c:v>
                        </c:pt>
                        <c:pt idx="91">
                          <c:v>Sonoma County</c:v>
                        </c:pt>
                        <c:pt idx="92">
                          <c:v>Santa Clara County</c:v>
                        </c:pt>
                        <c:pt idx="93">
                          <c:v>Marin County</c:v>
                        </c:pt>
                        <c:pt idx="94">
                          <c:v>Sonoma County</c:v>
                        </c:pt>
                        <c:pt idx="95">
                          <c:v>Solano County</c:v>
                        </c:pt>
                        <c:pt idx="96">
                          <c:v>Sonoma County</c:v>
                        </c:pt>
                        <c:pt idx="97">
                          <c:v>Sonoma County</c:v>
                        </c:pt>
                        <c:pt idx="98">
                          <c:v>San Mateo County</c:v>
                        </c:pt>
                        <c:pt idx="99">
                          <c:v>Solano County</c:v>
                        </c:pt>
                        <c:pt idx="100">
                          <c:v>Santa Clara County</c:v>
                        </c:pt>
                        <c:pt idx="101">
                          <c:v>Marin County</c:v>
                        </c:pt>
                        <c:pt idx="102">
                          <c:v>Alameda County</c:v>
                        </c:pt>
                        <c:pt idx="103">
                          <c:v>Solano County</c:v>
                        </c:pt>
                        <c:pt idx="104">
                          <c:v>Solano County</c:v>
                        </c:pt>
                        <c:pt idx="105">
                          <c:v>Contra Costa County</c:v>
                        </c:pt>
                        <c:pt idx="106">
                          <c:v>Sonoma County</c:v>
                        </c:pt>
                        <c:pt idx="107">
                          <c:v>San Mateo County</c:v>
                        </c:pt>
                        <c:pt idx="108">
                          <c:v>Napa County</c:v>
                        </c:pt>
                      </c:lvl>
                      <c:lvl>
                        <c:pt idx="0">
                          <c:v>alamedaci</c:v>
                        </c:pt>
                        <c:pt idx="1">
                          <c:v>alamedaco</c:v>
                        </c:pt>
                        <c:pt idx="2">
                          <c:v>albanyci</c:v>
                        </c:pt>
                        <c:pt idx="3">
                          <c:v>AmericanCanyonci</c:v>
                        </c:pt>
                        <c:pt idx="4">
                          <c:v>antiochci</c:v>
                        </c:pt>
                        <c:pt idx="5">
                          <c:v>athertonci</c:v>
                        </c:pt>
                        <c:pt idx="6">
                          <c:v>Belmontci</c:v>
                        </c:pt>
                        <c:pt idx="7">
                          <c:v>belvedereci</c:v>
                        </c:pt>
                        <c:pt idx="8">
                          <c:v>beniciaci</c:v>
                        </c:pt>
                        <c:pt idx="9">
                          <c:v>berkeleyci</c:v>
                        </c:pt>
                        <c:pt idx="10">
                          <c:v>brentwoodci</c:v>
                        </c:pt>
                        <c:pt idx="11">
                          <c:v>brisbaneci</c:v>
                        </c:pt>
                        <c:pt idx="12">
                          <c:v>burlingameci</c:v>
                        </c:pt>
                        <c:pt idx="13">
                          <c:v>calistogaci</c:v>
                        </c:pt>
                        <c:pt idx="14">
                          <c:v>campbellci</c:v>
                        </c:pt>
                        <c:pt idx="15">
                          <c:v>claytonci</c:v>
                        </c:pt>
                        <c:pt idx="16">
                          <c:v>cloverdaleci</c:v>
                        </c:pt>
                        <c:pt idx="17">
                          <c:v>colmaci</c:v>
                        </c:pt>
                        <c:pt idx="18">
                          <c:v>concordci</c:v>
                        </c:pt>
                        <c:pt idx="19">
                          <c:v>contracostaco</c:v>
                        </c:pt>
                        <c:pt idx="20">
                          <c:v>cortemaderaci</c:v>
                        </c:pt>
                        <c:pt idx="21">
                          <c:v>cotatici</c:v>
                        </c:pt>
                        <c:pt idx="22">
                          <c:v>cupertinoci</c:v>
                        </c:pt>
                        <c:pt idx="23">
                          <c:v>dalyci</c:v>
                        </c:pt>
                        <c:pt idx="24">
                          <c:v>danvilleci</c:v>
                        </c:pt>
                        <c:pt idx="25">
                          <c:v>dixonci</c:v>
                        </c:pt>
                        <c:pt idx="26">
                          <c:v>dublinci</c:v>
                        </c:pt>
                        <c:pt idx="27">
                          <c:v>elcerritoci</c:v>
                        </c:pt>
                        <c:pt idx="28">
                          <c:v>emeryvilleci</c:v>
                        </c:pt>
                        <c:pt idx="29">
                          <c:v>epaloaltoci</c:v>
                        </c:pt>
                        <c:pt idx="30">
                          <c:v>fairfaxci</c:v>
                        </c:pt>
                        <c:pt idx="31">
                          <c:v>fairfieldci</c:v>
                        </c:pt>
                        <c:pt idx="32">
                          <c:v>fostercityci</c:v>
                        </c:pt>
                        <c:pt idx="33">
                          <c:v>fremontci</c:v>
                        </c:pt>
                        <c:pt idx="34">
                          <c:v>gilroyci</c:v>
                        </c:pt>
                        <c:pt idx="35">
                          <c:v>halfmoonbayci</c:v>
                        </c:pt>
                        <c:pt idx="36">
                          <c:v>haywardci</c:v>
                        </c:pt>
                        <c:pt idx="37">
                          <c:v>healdsburgci</c:v>
                        </c:pt>
                        <c:pt idx="38">
                          <c:v>helenaci</c:v>
                        </c:pt>
                        <c:pt idx="39">
                          <c:v>herculesci</c:v>
                        </c:pt>
                        <c:pt idx="40">
                          <c:v>hillsboroughci</c:v>
                        </c:pt>
                        <c:pt idx="41">
                          <c:v>lafayetteci</c:v>
                        </c:pt>
                        <c:pt idx="42">
                          <c:v>larkspurci</c:v>
                        </c:pt>
                        <c:pt idx="43">
                          <c:v>livermoreci</c:v>
                        </c:pt>
                        <c:pt idx="44">
                          <c:v>losaltosci</c:v>
                        </c:pt>
                        <c:pt idx="45">
                          <c:v>losaltoshillsci</c:v>
                        </c:pt>
                        <c:pt idx="46">
                          <c:v>losgatosci</c:v>
                        </c:pt>
                        <c:pt idx="47">
                          <c:v>marinco</c:v>
                        </c:pt>
                        <c:pt idx="48">
                          <c:v>martinezci</c:v>
                        </c:pt>
                        <c:pt idx="49">
                          <c:v>menloparkci</c:v>
                        </c:pt>
                        <c:pt idx="50">
                          <c:v>millbraeci</c:v>
                        </c:pt>
                        <c:pt idx="51">
                          <c:v>millvalleyci</c:v>
                        </c:pt>
                        <c:pt idx="52">
                          <c:v>milpitasci</c:v>
                        </c:pt>
                        <c:pt idx="53">
                          <c:v>MonteSerenoci</c:v>
                        </c:pt>
                        <c:pt idx="54">
                          <c:v>moragaci</c:v>
                        </c:pt>
                        <c:pt idx="55">
                          <c:v>morganhillci</c:v>
                        </c:pt>
                        <c:pt idx="56">
                          <c:v>mtnviewci</c:v>
                        </c:pt>
                        <c:pt idx="57">
                          <c:v>napaci</c:v>
                        </c:pt>
                        <c:pt idx="58">
                          <c:v>napaco</c:v>
                        </c:pt>
                        <c:pt idx="59">
                          <c:v>newarkci</c:v>
                        </c:pt>
                        <c:pt idx="60">
                          <c:v>novatoci</c:v>
                        </c:pt>
                        <c:pt idx="61">
                          <c:v>oaklandci</c:v>
                        </c:pt>
                        <c:pt idx="62">
                          <c:v>oakleyci</c:v>
                        </c:pt>
                        <c:pt idx="63">
                          <c:v>orindaci</c:v>
                        </c:pt>
                        <c:pt idx="64">
                          <c:v>pacificaci</c:v>
                        </c:pt>
                        <c:pt idx="65">
                          <c:v>paloaltoci</c:v>
                        </c:pt>
                        <c:pt idx="66">
                          <c:v>petalumaci</c:v>
                        </c:pt>
                        <c:pt idx="67">
                          <c:v>piedmontci</c:v>
                        </c:pt>
                        <c:pt idx="68">
                          <c:v>pinoleci</c:v>
                        </c:pt>
                        <c:pt idx="69">
                          <c:v>pittsburgci</c:v>
                        </c:pt>
                        <c:pt idx="70">
                          <c:v>pleasanthillci</c:v>
                        </c:pt>
                        <c:pt idx="71">
                          <c:v>pleasantonci</c:v>
                        </c:pt>
                        <c:pt idx="72">
                          <c:v>PortolaValleyci</c:v>
                        </c:pt>
                        <c:pt idx="73">
                          <c:v>redwoodci</c:v>
                        </c:pt>
                        <c:pt idx="74">
                          <c:v>richmondci</c:v>
                        </c:pt>
                        <c:pt idx="75">
                          <c:v>RioVistaci</c:v>
                        </c:pt>
                        <c:pt idx="76">
                          <c:v>rohnertparkci</c:v>
                        </c:pt>
                        <c:pt idx="77">
                          <c:v>rossci</c:v>
                        </c:pt>
                        <c:pt idx="78">
                          <c:v>sananselmoci</c:v>
                        </c:pt>
                        <c:pt idx="79">
                          <c:v>sanbrunoci</c:v>
                        </c:pt>
                        <c:pt idx="80">
                          <c:v>sancarlosci</c:v>
                        </c:pt>
                        <c:pt idx="81">
                          <c:v>SanFranci</c:v>
                        </c:pt>
                        <c:pt idx="82">
                          <c:v>sanjoseci</c:v>
                        </c:pt>
                        <c:pt idx="83">
                          <c:v>sanleandroci</c:v>
                        </c:pt>
                        <c:pt idx="84">
                          <c:v>sanmateoci</c:v>
                        </c:pt>
                        <c:pt idx="85">
                          <c:v>sanmateoco</c:v>
                        </c:pt>
                        <c:pt idx="86">
                          <c:v>sanpabloci</c:v>
                        </c:pt>
                        <c:pt idx="87">
                          <c:v>sanrafaelci</c:v>
                        </c:pt>
                        <c:pt idx="88">
                          <c:v>sanramonci</c:v>
                        </c:pt>
                        <c:pt idx="89">
                          <c:v>santaclaraci</c:v>
                        </c:pt>
                        <c:pt idx="90">
                          <c:v>santaclaraco</c:v>
                        </c:pt>
                        <c:pt idx="91">
                          <c:v>santarosaci</c:v>
                        </c:pt>
                        <c:pt idx="92">
                          <c:v>Saratogaci</c:v>
                        </c:pt>
                        <c:pt idx="93">
                          <c:v>sausalitoci</c:v>
                        </c:pt>
                        <c:pt idx="94">
                          <c:v>sebastopolci</c:v>
                        </c:pt>
                        <c:pt idx="95">
                          <c:v>Solanoco</c:v>
                        </c:pt>
                        <c:pt idx="96">
                          <c:v>sonomaci</c:v>
                        </c:pt>
                        <c:pt idx="97">
                          <c:v>sonomaco</c:v>
                        </c:pt>
                        <c:pt idx="98">
                          <c:v>southsanfranci</c:v>
                        </c:pt>
                        <c:pt idx="99">
                          <c:v>suisunci</c:v>
                        </c:pt>
                        <c:pt idx="100">
                          <c:v>sunnyvaleci</c:v>
                        </c:pt>
                        <c:pt idx="101">
                          <c:v>tiburonci</c:v>
                        </c:pt>
                        <c:pt idx="102">
                          <c:v>unioncityci</c:v>
                        </c:pt>
                        <c:pt idx="103">
                          <c:v>vacavilleci</c:v>
                        </c:pt>
                        <c:pt idx="104">
                          <c:v>vallejoci</c:v>
                        </c:pt>
                        <c:pt idx="105">
                          <c:v>walnutcreekci</c:v>
                        </c:pt>
                        <c:pt idx="106">
                          <c:v>windsorci</c:v>
                        </c:pt>
                        <c:pt idx="107">
                          <c:v>woodsideci</c:v>
                        </c:pt>
                        <c:pt idx="108">
                          <c:v>yountvilleci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'MTC Regional PCIs 2022-2025'!$C$2:$C$110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67</c:v>
                      </c:pt>
                      <c:pt idx="1">
                        <c:v>74</c:v>
                      </c:pt>
                      <c:pt idx="2">
                        <c:v>59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75</c:v>
                      </c:pt>
                      <c:pt idx="6">
                        <c:v>65</c:v>
                      </c:pt>
                      <c:pt idx="7">
                        <c:v>70</c:v>
                      </c:pt>
                      <c:pt idx="8">
                        <c:v>52</c:v>
                      </c:pt>
                      <c:pt idx="9">
                        <c:v>56</c:v>
                      </c:pt>
                      <c:pt idx="10">
                        <c:v>79</c:v>
                      </c:pt>
                      <c:pt idx="11">
                        <c:v>74</c:v>
                      </c:pt>
                      <c:pt idx="12">
                        <c:v>77</c:v>
                      </c:pt>
                      <c:pt idx="13">
                        <c:v>59</c:v>
                      </c:pt>
                      <c:pt idx="14">
                        <c:v>69</c:v>
                      </c:pt>
                      <c:pt idx="15">
                        <c:v>78</c:v>
                      </c:pt>
                      <c:pt idx="16">
                        <c:v>60</c:v>
                      </c:pt>
                      <c:pt idx="17">
                        <c:v>76</c:v>
                      </c:pt>
                      <c:pt idx="18">
                        <c:v>55</c:v>
                      </c:pt>
                      <c:pt idx="19">
                        <c:v>70</c:v>
                      </c:pt>
                      <c:pt idx="20">
                        <c:v>66</c:v>
                      </c:pt>
                      <c:pt idx="21">
                        <c:v>66</c:v>
                      </c:pt>
                      <c:pt idx="22">
                        <c:v>82</c:v>
                      </c:pt>
                      <c:pt idx="23">
                        <c:v>79</c:v>
                      </c:pt>
                      <c:pt idx="24">
                        <c:v>77</c:v>
                      </c:pt>
                      <c:pt idx="25">
                        <c:v>63</c:v>
                      </c:pt>
                      <c:pt idx="26">
                        <c:v>78</c:v>
                      </c:pt>
                      <c:pt idx="27">
                        <c:v>69</c:v>
                      </c:pt>
                      <c:pt idx="28">
                        <c:v>81</c:v>
                      </c:pt>
                      <c:pt idx="29">
                        <c:v>61</c:v>
                      </c:pt>
                      <c:pt idx="30">
                        <c:v>55</c:v>
                      </c:pt>
                      <c:pt idx="31">
                        <c:v>64</c:v>
                      </c:pt>
                      <c:pt idx="32">
                        <c:v>77</c:v>
                      </c:pt>
                      <c:pt idx="33">
                        <c:v>71</c:v>
                      </c:pt>
                      <c:pt idx="34">
                        <c:v>61</c:v>
                      </c:pt>
                      <c:pt idx="35">
                        <c:v>66</c:v>
                      </c:pt>
                      <c:pt idx="36">
                        <c:v>70</c:v>
                      </c:pt>
                      <c:pt idx="37">
                        <c:v>72</c:v>
                      </c:pt>
                      <c:pt idx="38">
                        <c:v>48</c:v>
                      </c:pt>
                      <c:pt idx="39">
                        <c:v>64</c:v>
                      </c:pt>
                      <c:pt idx="40">
                        <c:v>80</c:v>
                      </c:pt>
                      <c:pt idx="41">
                        <c:v>75</c:v>
                      </c:pt>
                      <c:pt idx="42">
                        <c:v>85</c:v>
                      </c:pt>
                      <c:pt idx="43">
                        <c:v>76</c:v>
                      </c:pt>
                      <c:pt idx="44">
                        <c:v>75</c:v>
                      </c:pt>
                      <c:pt idx="45">
                        <c:v>79</c:v>
                      </c:pt>
                      <c:pt idx="46">
                        <c:v>73</c:v>
                      </c:pt>
                      <c:pt idx="47">
                        <c:v>66</c:v>
                      </c:pt>
                      <c:pt idx="48">
                        <c:v>69</c:v>
                      </c:pt>
                      <c:pt idx="49">
                        <c:v>77</c:v>
                      </c:pt>
                      <c:pt idx="50">
                        <c:v>54</c:v>
                      </c:pt>
                      <c:pt idx="51">
                        <c:v>76</c:v>
                      </c:pt>
                      <c:pt idx="52">
                        <c:v>68</c:v>
                      </c:pt>
                      <c:pt idx="53">
                        <c:v>72</c:v>
                      </c:pt>
                      <c:pt idx="54">
                        <c:v>71</c:v>
                      </c:pt>
                      <c:pt idx="55">
                        <c:v>75</c:v>
                      </c:pt>
                      <c:pt idx="56">
                        <c:v>68</c:v>
                      </c:pt>
                      <c:pt idx="57">
                        <c:v>62</c:v>
                      </c:pt>
                      <c:pt idx="58">
                        <c:v>45</c:v>
                      </c:pt>
                      <c:pt idx="59">
                        <c:v>71</c:v>
                      </c:pt>
                      <c:pt idx="60">
                        <c:v>65</c:v>
                      </c:pt>
                      <c:pt idx="61">
                        <c:v>57</c:v>
                      </c:pt>
                      <c:pt idx="62">
                        <c:v>71</c:v>
                      </c:pt>
                      <c:pt idx="63">
                        <c:v>84</c:v>
                      </c:pt>
                      <c:pt idx="64">
                        <c:v>49</c:v>
                      </c:pt>
                      <c:pt idx="65">
                        <c:v>83</c:v>
                      </c:pt>
                      <c:pt idx="66">
                        <c:v>43</c:v>
                      </c:pt>
                      <c:pt idx="67">
                        <c:v>64</c:v>
                      </c:pt>
                      <c:pt idx="68">
                        <c:v>55</c:v>
                      </c:pt>
                      <c:pt idx="69">
                        <c:v>59</c:v>
                      </c:pt>
                      <c:pt idx="70">
                        <c:v>73</c:v>
                      </c:pt>
                      <c:pt idx="71">
                        <c:v>77</c:v>
                      </c:pt>
                      <c:pt idx="72">
                        <c:v>77</c:v>
                      </c:pt>
                      <c:pt idx="73">
                        <c:v>69</c:v>
                      </c:pt>
                      <c:pt idx="74">
                        <c:v>57</c:v>
                      </c:pt>
                      <c:pt idx="75">
                        <c:v>61</c:v>
                      </c:pt>
                      <c:pt idx="76">
                        <c:v>66</c:v>
                      </c:pt>
                      <c:pt idx="77">
                        <c:v>77</c:v>
                      </c:pt>
                      <c:pt idx="78">
                        <c:v>70</c:v>
                      </c:pt>
                      <c:pt idx="79">
                        <c:v>61</c:v>
                      </c:pt>
                      <c:pt idx="80">
                        <c:v>57</c:v>
                      </c:pt>
                      <c:pt idx="81">
                        <c:v>74</c:v>
                      </c:pt>
                      <c:pt idx="82">
                        <c:v>71</c:v>
                      </c:pt>
                      <c:pt idx="83">
                        <c:v>55</c:v>
                      </c:pt>
                      <c:pt idx="84">
                        <c:v>70</c:v>
                      </c:pt>
                      <c:pt idx="85">
                        <c:v>76</c:v>
                      </c:pt>
                      <c:pt idx="86">
                        <c:v>67</c:v>
                      </c:pt>
                      <c:pt idx="87">
                        <c:v>62</c:v>
                      </c:pt>
                      <c:pt idx="88">
                        <c:v>78</c:v>
                      </c:pt>
                      <c:pt idx="89">
                        <c:v>73</c:v>
                      </c:pt>
                      <c:pt idx="90">
                        <c:v>66</c:v>
                      </c:pt>
                      <c:pt idx="91">
                        <c:v>61</c:v>
                      </c:pt>
                      <c:pt idx="92">
                        <c:v>69</c:v>
                      </c:pt>
                      <c:pt idx="93">
                        <c:v>59</c:v>
                      </c:pt>
                      <c:pt idx="94">
                        <c:v>55</c:v>
                      </c:pt>
                      <c:pt idx="95">
                        <c:v>81</c:v>
                      </c:pt>
                      <c:pt idx="96">
                        <c:v>68</c:v>
                      </c:pt>
                      <c:pt idx="97">
                        <c:v>53</c:v>
                      </c:pt>
                      <c:pt idx="98">
                        <c:v>76</c:v>
                      </c:pt>
                      <c:pt idx="99">
                        <c:v>52</c:v>
                      </c:pt>
                      <c:pt idx="100">
                        <c:v>77</c:v>
                      </c:pt>
                      <c:pt idx="101">
                        <c:v>71</c:v>
                      </c:pt>
                      <c:pt idx="102">
                        <c:v>69</c:v>
                      </c:pt>
                      <c:pt idx="103">
                        <c:v>74</c:v>
                      </c:pt>
                      <c:pt idx="104">
                        <c:v>46</c:v>
                      </c:pt>
                      <c:pt idx="105">
                        <c:v>70</c:v>
                      </c:pt>
                      <c:pt idx="106">
                        <c:v>73</c:v>
                      </c:pt>
                      <c:pt idx="107">
                        <c:v>74</c:v>
                      </c:pt>
                      <c:pt idx="108">
                        <c:v>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21B-4266-B04E-9ECD42EF86C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'MTC Regional PCIs 2022-2025'!$D$1</c15:sqref>
                        </c15:formulaRef>
                      </c:ext>
                    </c:extLst>
                    <c:strCache>
                      <c:ptCount val="1"/>
                      <c:pt idx="0">
                        <c:v>12/31/2023 PCI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'MTC Regional PCIs 2022-2025'!$A$2:$B$110</c15:sqref>
                        </c15:formulaRef>
                      </c:ext>
                    </c:extLst>
                    <c:multiLvlStrCache>
                      <c:ptCount val="109"/>
                      <c:lvl>
                        <c:pt idx="0">
                          <c:v>Alameda County</c:v>
                        </c:pt>
                        <c:pt idx="1">
                          <c:v>Alameda County</c:v>
                        </c:pt>
                        <c:pt idx="2">
                          <c:v>Alameda County</c:v>
                        </c:pt>
                        <c:pt idx="3">
                          <c:v>Napa County</c:v>
                        </c:pt>
                        <c:pt idx="4">
                          <c:v>Contra Costa County</c:v>
                        </c:pt>
                        <c:pt idx="5">
                          <c:v>San Mateo County</c:v>
                        </c:pt>
                        <c:pt idx="6">
                          <c:v>San Mateo County</c:v>
                        </c:pt>
                        <c:pt idx="7">
                          <c:v>Marin County</c:v>
                        </c:pt>
                        <c:pt idx="8">
                          <c:v>Solano County</c:v>
                        </c:pt>
                        <c:pt idx="9">
                          <c:v>Alameda County</c:v>
                        </c:pt>
                        <c:pt idx="10">
                          <c:v>Contra Costa County</c:v>
                        </c:pt>
                        <c:pt idx="11">
                          <c:v>San Mateo County</c:v>
                        </c:pt>
                        <c:pt idx="12">
                          <c:v>San Mateo County</c:v>
                        </c:pt>
                        <c:pt idx="13">
                          <c:v>Napa County</c:v>
                        </c:pt>
                        <c:pt idx="14">
                          <c:v>Santa Clara County</c:v>
                        </c:pt>
                        <c:pt idx="15">
                          <c:v>Contra Costa County</c:v>
                        </c:pt>
                        <c:pt idx="16">
                          <c:v>Sonoma County</c:v>
                        </c:pt>
                        <c:pt idx="17">
                          <c:v>San Mateo County</c:v>
                        </c:pt>
                        <c:pt idx="18">
                          <c:v>Contra Costa County</c:v>
                        </c:pt>
                        <c:pt idx="19">
                          <c:v>Contra Costa County</c:v>
                        </c:pt>
                        <c:pt idx="20">
                          <c:v>Marin County</c:v>
                        </c:pt>
                        <c:pt idx="21">
                          <c:v>Sonoma County</c:v>
                        </c:pt>
                        <c:pt idx="22">
                          <c:v>Santa Clara County</c:v>
                        </c:pt>
                        <c:pt idx="23">
                          <c:v>San Mateo County</c:v>
                        </c:pt>
                        <c:pt idx="24">
                          <c:v>Contra Costa County</c:v>
                        </c:pt>
                        <c:pt idx="25">
                          <c:v>Solano County</c:v>
                        </c:pt>
                        <c:pt idx="26">
                          <c:v>Alameda County</c:v>
                        </c:pt>
                        <c:pt idx="27">
                          <c:v>Contra Costa County</c:v>
                        </c:pt>
                        <c:pt idx="28">
                          <c:v>Alameda County</c:v>
                        </c:pt>
                        <c:pt idx="29">
                          <c:v>San Mateo County</c:v>
                        </c:pt>
                        <c:pt idx="30">
                          <c:v>Marin County</c:v>
                        </c:pt>
                        <c:pt idx="31">
                          <c:v>Solano County</c:v>
                        </c:pt>
                        <c:pt idx="32">
                          <c:v>San Mateo County</c:v>
                        </c:pt>
                        <c:pt idx="33">
                          <c:v>Alameda County</c:v>
                        </c:pt>
                        <c:pt idx="34">
                          <c:v>Santa Clara County</c:v>
                        </c:pt>
                        <c:pt idx="35">
                          <c:v>San Mateo County</c:v>
                        </c:pt>
                        <c:pt idx="36">
                          <c:v>Alameda County</c:v>
                        </c:pt>
                        <c:pt idx="37">
                          <c:v>Sonoma County</c:v>
                        </c:pt>
                        <c:pt idx="38">
                          <c:v>Napa County</c:v>
                        </c:pt>
                        <c:pt idx="39">
                          <c:v>Contra Costa County</c:v>
                        </c:pt>
                        <c:pt idx="40">
                          <c:v>San Mateo County</c:v>
                        </c:pt>
                        <c:pt idx="41">
                          <c:v>Contra Costa County</c:v>
                        </c:pt>
                        <c:pt idx="42">
                          <c:v>Marin County</c:v>
                        </c:pt>
                        <c:pt idx="43">
                          <c:v>Alameda County</c:v>
                        </c:pt>
                        <c:pt idx="44">
                          <c:v>Santa Clara County</c:v>
                        </c:pt>
                        <c:pt idx="45">
                          <c:v>Santa Clara County</c:v>
                        </c:pt>
                        <c:pt idx="46">
                          <c:v>Santa Clara County</c:v>
                        </c:pt>
                        <c:pt idx="47">
                          <c:v>Marin County</c:v>
                        </c:pt>
                        <c:pt idx="48">
                          <c:v>Contra Costa County</c:v>
                        </c:pt>
                        <c:pt idx="49">
                          <c:v>San Mateo County</c:v>
                        </c:pt>
                        <c:pt idx="50">
                          <c:v>San Mateo County</c:v>
                        </c:pt>
                        <c:pt idx="51">
                          <c:v>Marin County</c:v>
                        </c:pt>
                        <c:pt idx="52">
                          <c:v>Santa Clara County</c:v>
                        </c:pt>
                        <c:pt idx="53">
                          <c:v>Santa Clara County</c:v>
                        </c:pt>
                        <c:pt idx="54">
                          <c:v>Contra Costa County</c:v>
                        </c:pt>
                        <c:pt idx="55">
                          <c:v>Santa Clara County</c:v>
                        </c:pt>
                        <c:pt idx="56">
                          <c:v>Santa Clara County</c:v>
                        </c:pt>
                        <c:pt idx="57">
                          <c:v>Napa County</c:v>
                        </c:pt>
                        <c:pt idx="58">
                          <c:v>Napa County</c:v>
                        </c:pt>
                        <c:pt idx="59">
                          <c:v>Alameda County</c:v>
                        </c:pt>
                        <c:pt idx="60">
                          <c:v>Marin County</c:v>
                        </c:pt>
                        <c:pt idx="61">
                          <c:v>Alameda County</c:v>
                        </c:pt>
                        <c:pt idx="62">
                          <c:v>Contra Costa County</c:v>
                        </c:pt>
                        <c:pt idx="63">
                          <c:v>Contra Costa County</c:v>
                        </c:pt>
                        <c:pt idx="64">
                          <c:v>San Mateo County</c:v>
                        </c:pt>
                        <c:pt idx="65">
                          <c:v>Santa Clara County</c:v>
                        </c:pt>
                        <c:pt idx="66">
                          <c:v>Sonoma County</c:v>
                        </c:pt>
                        <c:pt idx="67">
                          <c:v>Alameda County</c:v>
                        </c:pt>
                        <c:pt idx="68">
                          <c:v>Contra Costa County</c:v>
                        </c:pt>
                        <c:pt idx="69">
                          <c:v>Contra Costa County</c:v>
                        </c:pt>
                        <c:pt idx="70">
                          <c:v>Contra Costa County</c:v>
                        </c:pt>
                        <c:pt idx="71">
                          <c:v>Alameda County</c:v>
                        </c:pt>
                        <c:pt idx="72">
                          <c:v>San Mateo County</c:v>
                        </c:pt>
                        <c:pt idx="73">
                          <c:v>San Mateo County</c:v>
                        </c:pt>
                        <c:pt idx="74">
                          <c:v>Contra Costa County</c:v>
                        </c:pt>
                        <c:pt idx="75">
                          <c:v>Solano County</c:v>
                        </c:pt>
                        <c:pt idx="76">
                          <c:v>Sonoma County</c:v>
                        </c:pt>
                        <c:pt idx="77">
                          <c:v>Marin County</c:v>
                        </c:pt>
                        <c:pt idx="78">
                          <c:v>Marin County</c:v>
                        </c:pt>
                        <c:pt idx="79">
                          <c:v>San Mateo County</c:v>
                        </c:pt>
                        <c:pt idx="80">
                          <c:v>San Mateo County</c:v>
                        </c:pt>
                        <c:pt idx="81">
                          <c:v>San Francisco County</c:v>
                        </c:pt>
                        <c:pt idx="82">
                          <c:v>Santa Clara County</c:v>
                        </c:pt>
                        <c:pt idx="83">
                          <c:v>Alameda County</c:v>
                        </c:pt>
                        <c:pt idx="84">
                          <c:v>San Mateo County</c:v>
                        </c:pt>
                        <c:pt idx="85">
                          <c:v>San Mateo County</c:v>
                        </c:pt>
                        <c:pt idx="86">
                          <c:v>Contra Costa County</c:v>
                        </c:pt>
                        <c:pt idx="87">
                          <c:v>Marin County</c:v>
                        </c:pt>
                        <c:pt idx="88">
                          <c:v>Contra Costa County</c:v>
                        </c:pt>
                        <c:pt idx="89">
                          <c:v>Santa Clara County</c:v>
                        </c:pt>
                        <c:pt idx="90">
                          <c:v>Santa Clara County</c:v>
                        </c:pt>
                        <c:pt idx="91">
                          <c:v>Sonoma County</c:v>
                        </c:pt>
                        <c:pt idx="92">
                          <c:v>Santa Clara County</c:v>
                        </c:pt>
                        <c:pt idx="93">
                          <c:v>Marin County</c:v>
                        </c:pt>
                        <c:pt idx="94">
                          <c:v>Sonoma County</c:v>
                        </c:pt>
                        <c:pt idx="95">
                          <c:v>Solano County</c:v>
                        </c:pt>
                        <c:pt idx="96">
                          <c:v>Sonoma County</c:v>
                        </c:pt>
                        <c:pt idx="97">
                          <c:v>Sonoma County</c:v>
                        </c:pt>
                        <c:pt idx="98">
                          <c:v>San Mateo County</c:v>
                        </c:pt>
                        <c:pt idx="99">
                          <c:v>Solano County</c:v>
                        </c:pt>
                        <c:pt idx="100">
                          <c:v>Santa Clara County</c:v>
                        </c:pt>
                        <c:pt idx="101">
                          <c:v>Marin County</c:v>
                        </c:pt>
                        <c:pt idx="102">
                          <c:v>Alameda County</c:v>
                        </c:pt>
                        <c:pt idx="103">
                          <c:v>Solano County</c:v>
                        </c:pt>
                        <c:pt idx="104">
                          <c:v>Solano County</c:v>
                        </c:pt>
                        <c:pt idx="105">
                          <c:v>Contra Costa County</c:v>
                        </c:pt>
                        <c:pt idx="106">
                          <c:v>Sonoma County</c:v>
                        </c:pt>
                        <c:pt idx="107">
                          <c:v>San Mateo County</c:v>
                        </c:pt>
                        <c:pt idx="108">
                          <c:v>Napa County</c:v>
                        </c:pt>
                      </c:lvl>
                      <c:lvl>
                        <c:pt idx="0">
                          <c:v>alamedaci</c:v>
                        </c:pt>
                        <c:pt idx="1">
                          <c:v>alamedaco</c:v>
                        </c:pt>
                        <c:pt idx="2">
                          <c:v>albanyci</c:v>
                        </c:pt>
                        <c:pt idx="3">
                          <c:v>AmericanCanyonci</c:v>
                        </c:pt>
                        <c:pt idx="4">
                          <c:v>antiochci</c:v>
                        </c:pt>
                        <c:pt idx="5">
                          <c:v>athertonci</c:v>
                        </c:pt>
                        <c:pt idx="6">
                          <c:v>Belmontci</c:v>
                        </c:pt>
                        <c:pt idx="7">
                          <c:v>belvedereci</c:v>
                        </c:pt>
                        <c:pt idx="8">
                          <c:v>beniciaci</c:v>
                        </c:pt>
                        <c:pt idx="9">
                          <c:v>berkeleyci</c:v>
                        </c:pt>
                        <c:pt idx="10">
                          <c:v>brentwoodci</c:v>
                        </c:pt>
                        <c:pt idx="11">
                          <c:v>brisbaneci</c:v>
                        </c:pt>
                        <c:pt idx="12">
                          <c:v>burlingameci</c:v>
                        </c:pt>
                        <c:pt idx="13">
                          <c:v>calistogaci</c:v>
                        </c:pt>
                        <c:pt idx="14">
                          <c:v>campbellci</c:v>
                        </c:pt>
                        <c:pt idx="15">
                          <c:v>claytonci</c:v>
                        </c:pt>
                        <c:pt idx="16">
                          <c:v>cloverdaleci</c:v>
                        </c:pt>
                        <c:pt idx="17">
                          <c:v>colmaci</c:v>
                        </c:pt>
                        <c:pt idx="18">
                          <c:v>concordci</c:v>
                        </c:pt>
                        <c:pt idx="19">
                          <c:v>contracostaco</c:v>
                        </c:pt>
                        <c:pt idx="20">
                          <c:v>cortemaderaci</c:v>
                        </c:pt>
                        <c:pt idx="21">
                          <c:v>cotatici</c:v>
                        </c:pt>
                        <c:pt idx="22">
                          <c:v>cupertinoci</c:v>
                        </c:pt>
                        <c:pt idx="23">
                          <c:v>dalyci</c:v>
                        </c:pt>
                        <c:pt idx="24">
                          <c:v>danvilleci</c:v>
                        </c:pt>
                        <c:pt idx="25">
                          <c:v>dixonci</c:v>
                        </c:pt>
                        <c:pt idx="26">
                          <c:v>dublinci</c:v>
                        </c:pt>
                        <c:pt idx="27">
                          <c:v>elcerritoci</c:v>
                        </c:pt>
                        <c:pt idx="28">
                          <c:v>emeryvilleci</c:v>
                        </c:pt>
                        <c:pt idx="29">
                          <c:v>epaloaltoci</c:v>
                        </c:pt>
                        <c:pt idx="30">
                          <c:v>fairfaxci</c:v>
                        </c:pt>
                        <c:pt idx="31">
                          <c:v>fairfieldci</c:v>
                        </c:pt>
                        <c:pt idx="32">
                          <c:v>fostercityci</c:v>
                        </c:pt>
                        <c:pt idx="33">
                          <c:v>fremontci</c:v>
                        </c:pt>
                        <c:pt idx="34">
                          <c:v>gilroyci</c:v>
                        </c:pt>
                        <c:pt idx="35">
                          <c:v>halfmoonbayci</c:v>
                        </c:pt>
                        <c:pt idx="36">
                          <c:v>haywardci</c:v>
                        </c:pt>
                        <c:pt idx="37">
                          <c:v>healdsburgci</c:v>
                        </c:pt>
                        <c:pt idx="38">
                          <c:v>helenaci</c:v>
                        </c:pt>
                        <c:pt idx="39">
                          <c:v>herculesci</c:v>
                        </c:pt>
                        <c:pt idx="40">
                          <c:v>hillsboroughci</c:v>
                        </c:pt>
                        <c:pt idx="41">
                          <c:v>lafayetteci</c:v>
                        </c:pt>
                        <c:pt idx="42">
                          <c:v>larkspurci</c:v>
                        </c:pt>
                        <c:pt idx="43">
                          <c:v>livermoreci</c:v>
                        </c:pt>
                        <c:pt idx="44">
                          <c:v>losaltosci</c:v>
                        </c:pt>
                        <c:pt idx="45">
                          <c:v>losaltoshillsci</c:v>
                        </c:pt>
                        <c:pt idx="46">
                          <c:v>losgatosci</c:v>
                        </c:pt>
                        <c:pt idx="47">
                          <c:v>marinco</c:v>
                        </c:pt>
                        <c:pt idx="48">
                          <c:v>martinezci</c:v>
                        </c:pt>
                        <c:pt idx="49">
                          <c:v>menloparkci</c:v>
                        </c:pt>
                        <c:pt idx="50">
                          <c:v>millbraeci</c:v>
                        </c:pt>
                        <c:pt idx="51">
                          <c:v>millvalleyci</c:v>
                        </c:pt>
                        <c:pt idx="52">
                          <c:v>milpitasci</c:v>
                        </c:pt>
                        <c:pt idx="53">
                          <c:v>MonteSerenoci</c:v>
                        </c:pt>
                        <c:pt idx="54">
                          <c:v>moragaci</c:v>
                        </c:pt>
                        <c:pt idx="55">
                          <c:v>morganhillci</c:v>
                        </c:pt>
                        <c:pt idx="56">
                          <c:v>mtnviewci</c:v>
                        </c:pt>
                        <c:pt idx="57">
                          <c:v>napaci</c:v>
                        </c:pt>
                        <c:pt idx="58">
                          <c:v>napaco</c:v>
                        </c:pt>
                        <c:pt idx="59">
                          <c:v>newarkci</c:v>
                        </c:pt>
                        <c:pt idx="60">
                          <c:v>novatoci</c:v>
                        </c:pt>
                        <c:pt idx="61">
                          <c:v>oaklandci</c:v>
                        </c:pt>
                        <c:pt idx="62">
                          <c:v>oakleyci</c:v>
                        </c:pt>
                        <c:pt idx="63">
                          <c:v>orindaci</c:v>
                        </c:pt>
                        <c:pt idx="64">
                          <c:v>pacificaci</c:v>
                        </c:pt>
                        <c:pt idx="65">
                          <c:v>paloaltoci</c:v>
                        </c:pt>
                        <c:pt idx="66">
                          <c:v>petalumaci</c:v>
                        </c:pt>
                        <c:pt idx="67">
                          <c:v>piedmontci</c:v>
                        </c:pt>
                        <c:pt idx="68">
                          <c:v>pinoleci</c:v>
                        </c:pt>
                        <c:pt idx="69">
                          <c:v>pittsburgci</c:v>
                        </c:pt>
                        <c:pt idx="70">
                          <c:v>pleasanthillci</c:v>
                        </c:pt>
                        <c:pt idx="71">
                          <c:v>pleasantonci</c:v>
                        </c:pt>
                        <c:pt idx="72">
                          <c:v>PortolaValleyci</c:v>
                        </c:pt>
                        <c:pt idx="73">
                          <c:v>redwoodci</c:v>
                        </c:pt>
                        <c:pt idx="74">
                          <c:v>richmondci</c:v>
                        </c:pt>
                        <c:pt idx="75">
                          <c:v>RioVistaci</c:v>
                        </c:pt>
                        <c:pt idx="76">
                          <c:v>rohnertparkci</c:v>
                        </c:pt>
                        <c:pt idx="77">
                          <c:v>rossci</c:v>
                        </c:pt>
                        <c:pt idx="78">
                          <c:v>sananselmoci</c:v>
                        </c:pt>
                        <c:pt idx="79">
                          <c:v>sanbrunoci</c:v>
                        </c:pt>
                        <c:pt idx="80">
                          <c:v>sancarlosci</c:v>
                        </c:pt>
                        <c:pt idx="81">
                          <c:v>SanFranci</c:v>
                        </c:pt>
                        <c:pt idx="82">
                          <c:v>sanjoseci</c:v>
                        </c:pt>
                        <c:pt idx="83">
                          <c:v>sanleandroci</c:v>
                        </c:pt>
                        <c:pt idx="84">
                          <c:v>sanmateoci</c:v>
                        </c:pt>
                        <c:pt idx="85">
                          <c:v>sanmateoco</c:v>
                        </c:pt>
                        <c:pt idx="86">
                          <c:v>sanpabloci</c:v>
                        </c:pt>
                        <c:pt idx="87">
                          <c:v>sanrafaelci</c:v>
                        </c:pt>
                        <c:pt idx="88">
                          <c:v>sanramonci</c:v>
                        </c:pt>
                        <c:pt idx="89">
                          <c:v>santaclaraci</c:v>
                        </c:pt>
                        <c:pt idx="90">
                          <c:v>santaclaraco</c:v>
                        </c:pt>
                        <c:pt idx="91">
                          <c:v>santarosaci</c:v>
                        </c:pt>
                        <c:pt idx="92">
                          <c:v>Saratogaci</c:v>
                        </c:pt>
                        <c:pt idx="93">
                          <c:v>sausalitoci</c:v>
                        </c:pt>
                        <c:pt idx="94">
                          <c:v>sebastopolci</c:v>
                        </c:pt>
                        <c:pt idx="95">
                          <c:v>Solanoco</c:v>
                        </c:pt>
                        <c:pt idx="96">
                          <c:v>sonomaci</c:v>
                        </c:pt>
                        <c:pt idx="97">
                          <c:v>sonomaco</c:v>
                        </c:pt>
                        <c:pt idx="98">
                          <c:v>southsanfranci</c:v>
                        </c:pt>
                        <c:pt idx="99">
                          <c:v>suisunci</c:v>
                        </c:pt>
                        <c:pt idx="100">
                          <c:v>sunnyvaleci</c:v>
                        </c:pt>
                        <c:pt idx="101">
                          <c:v>tiburonci</c:v>
                        </c:pt>
                        <c:pt idx="102">
                          <c:v>unioncityci</c:v>
                        </c:pt>
                        <c:pt idx="103">
                          <c:v>vacavilleci</c:v>
                        </c:pt>
                        <c:pt idx="104">
                          <c:v>vallejoci</c:v>
                        </c:pt>
                        <c:pt idx="105">
                          <c:v>walnutcreekci</c:v>
                        </c:pt>
                        <c:pt idx="106">
                          <c:v>windsorci</c:v>
                        </c:pt>
                        <c:pt idx="107">
                          <c:v>woodsideci</c:v>
                        </c:pt>
                        <c:pt idx="108">
                          <c:v>yountvilleci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'MTC Regional PCIs 2022-2025'!$D$2:$D$110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65</c:v>
                      </c:pt>
                      <c:pt idx="1">
                        <c:v>72</c:v>
                      </c:pt>
                      <c:pt idx="2">
                        <c:v>58</c:v>
                      </c:pt>
                      <c:pt idx="3">
                        <c:v>59</c:v>
                      </c:pt>
                      <c:pt idx="4">
                        <c:v>63</c:v>
                      </c:pt>
                      <c:pt idx="5">
                        <c:v>73</c:v>
                      </c:pt>
                      <c:pt idx="6">
                        <c:v>68</c:v>
                      </c:pt>
                      <c:pt idx="7">
                        <c:v>73</c:v>
                      </c:pt>
                      <c:pt idx="8">
                        <c:v>55</c:v>
                      </c:pt>
                      <c:pt idx="9">
                        <c:v>55</c:v>
                      </c:pt>
                      <c:pt idx="10">
                        <c:v>78</c:v>
                      </c:pt>
                      <c:pt idx="11">
                        <c:v>72</c:v>
                      </c:pt>
                      <c:pt idx="12">
                        <c:v>76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77</c:v>
                      </c:pt>
                      <c:pt idx="16">
                        <c:v>58</c:v>
                      </c:pt>
                      <c:pt idx="17">
                        <c:v>74</c:v>
                      </c:pt>
                      <c:pt idx="18">
                        <c:v>55</c:v>
                      </c:pt>
                      <c:pt idx="19">
                        <c:v>73</c:v>
                      </c:pt>
                      <c:pt idx="20">
                        <c:v>69</c:v>
                      </c:pt>
                      <c:pt idx="21">
                        <c:v>74</c:v>
                      </c:pt>
                      <c:pt idx="22">
                        <c:v>81</c:v>
                      </c:pt>
                      <c:pt idx="23">
                        <c:v>79</c:v>
                      </c:pt>
                      <c:pt idx="24">
                        <c:v>78</c:v>
                      </c:pt>
                      <c:pt idx="25">
                        <c:v>67</c:v>
                      </c:pt>
                      <c:pt idx="26">
                        <c:v>78</c:v>
                      </c:pt>
                      <c:pt idx="27">
                        <c:v>68</c:v>
                      </c:pt>
                      <c:pt idx="28">
                        <c:v>79</c:v>
                      </c:pt>
                      <c:pt idx="29">
                        <c:v>60</c:v>
                      </c:pt>
                      <c:pt idx="30">
                        <c:v>53</c:v>
                      </c:pt>
                      <c:pt idx="31">
                        <c:v>65</c:v>
                      </c:pt>
                      <c:pt idx="32">
                        <c:v>78</c:v>
                      </c:pt>
                      <c:pt idx="33">
                        <c:v>70</c:v>
                      </c:pt>
                      <c:pt idx="34">
                        <c:v>64</c:v>
                      </c:pt>
                      <c:pt idx="35">
                        <c:v>64</c:v>
                      </c:pt>
                      <c:pt idx="36">
                        <c:v>73</c:v>
                      </c:pt>
                      <c:pt idx="37">
                        <c:v>70</c:v>
                      </c:pt>
                      <c:pt idx="38">
                        <c:v>52</c:v>
                      </c:pt>
                      <c:pt idx="39">
                        <c:v>62</c:v>
                      </c:pt>
                      <c:pt idx="40">
                        <c:v>83</c:v>
                      </c:pt>
                      <c:pt idx="41">
                        <c:v>73</c:v>
                      </c:pt>
                      <c:pt idx="42">
                        <c:v>89</c:v>
                      </c:pt>
                      <c:pt idx="43">
                        <c:v>76</c:v>
                      </c:pt>
                      <c:pt idx="44">
                        <c:v>73</c:v>
                      </c:pt>
                      <c:pt idx="45">
                        <c:v>79</c:v>
                      </c:pt>
                      <c:pt idx="46">
                        <c:v>75</c:v>
                      </c:pt>
                      <c:pt idx="47">
                        <c:v>67</c:v>
                      </c:pt>
                      <c:pt idx="48">
                        <c:v>69</c:v>
                      </c:pt>
                      <c:pt idx="49">
                        <c:v>76</c:v>
                      </c:pt>
                      <c:pt idx="50">
                        <c:v>52</c:v>
                      </c:pt>
                      <c:pt idx="51">
                        <c:v>74</c:v>
                      </c:pt>
                      <c:pt idx="52">
                        <c:v>71</c:v>
                      </c:pt>
                      <c:pt idx="53">
                        <c:v>70</c:v>
                      </c:pt>
                      <c:pt idx="54">
                        <c:v>76</c:v>
                      </c:pt>
                      <c:pt idx="55">
                        <c:v>75</c:v>
                      </c:pt>
                      <c:pt idx="56">
                        <c:v>67</c:v>
                      </c:pt>
                      <c:pt idx="57">
                        <c:v>61</c:v>
                      </c:pt>
                      <c:pt idx="58">
                        <c:v>52</c:v>
                      </c:pt>
                      <c:pt idx="59">
                        <c:v>72</c:v>
                      </c:pt>
                      <c:pt idx="60">
                        <c:v>63</c:v>
                      </c:pt>
                      <c:pt idx="61">
                        <c:v>56</c:v>
                      </c:pt>
                      <c:pt idx="62">
                        <c:v>70</c:v>
                      </c:pt>
                      <c:pt idx="63">
                        <c:v>82</c:v>
                      </c:pt>
                      <c:pt idx="64">
                        <c:v>50</c:v>
                      </c:pt>
                      <c:pt idx="65">
                        <c:v>84</c:v>
                      </c:pt>
                      <c:pt idx="66">
                        <c:v>55</c:v>
                      </c:pt>
                      <c:pt idx="67">
                        <c:v>62</c:v>
                      </c:pt>
                      <c:pt idx="68">
                        <c:v>56</c:v>
                      </c:pt>
                      <c:pt idx="69">
                        <c:v>59</c:v>
                      </c:pt>
                      <c:pt idx="70">
                        <c:v>71</c:v>
                      </c:pt>
                      <c:pt idx="71">
                        <c:v>76</c:v>
                      </c:pt>
                      <c:pt idx="72">
                        <c:v>76</c:v>
                      </c:pt>
                      <c:pt idx="73">
                        <c:v>68</c:v>
                      </c:pt>
                      <c:pt idx="74">
                        <c:v>61</c:v>
                      </c:pt>
                      <c:pt idx="75">
                        <c:v>59</c:v>
                      </c:pt>
                      <c:pt idx="76">
                        <c:v>66</c:v>
                      </c:pt>
                      <c:pt idx="77">
                        <c:v>75</c:v>
                      </c:pt>
                      <c:pt idx="78">
                        <c:v>72</c:v>
                      </c:pt>
                      <c:pt idx="79">
                        <c:v>63</c:v>
                      </c:pt>
                      <c:pt idx="80">
                        <c:v>57</c:v>
                      </c:pt>
                      <c:pt idx="81">
                        <c:v>75</c:v>
                      </c:pt>
                      <c:pt idx="82">
                        <c:v>73</c:v>
                      </c:pt>
                      <c:pt idx="83">
                        <c:v>58</c:v>
                      </c:pt>
                      <c:pt idx="84">
                        <c:v>73</c:v>
                      </c:pt>
                      <c:pt idx="85">
                        <c:v>74</c:v>
                      </c:pt>
                      <c:pt idx="86">
                        <c:v>65</c:v>
                      </c:pt>
                      <c:pt idx="87">
                        <c:v>61</c:v>
                      </c:pt>
                      <c:pt idx="88">
                        <c:v>77</c:v>
                      </c:pt>
                      <c:pt idx="89">
                        <c:v>75</c:v>
                      </c:pt>
                      <c:pt idx="90">
                        <c:v>65</c:v>
                      </c:pt>
                      <c:pt idx="91">
                        <c:v>60</c:v>
                      </c:pt>
                      <c:pt idx="92">
                        <c:v>67</c:v>
                      </c:pt>
                      <c:pt idx="93">
                        <c:v>57</c:v>
                      </c:pt>
                      <c:pt idx="94">
                        <c:v>52</c:v>
                      </c:pt>
                      <c:pt idx="95">
                        <c:v>82</c:v>
                      </c:pt>
                      <c:pt idx="96">
                        <c:v>62</c:v>
                      </c:pt>
                      <c:pt idx="97">
                        <c:v>55</c:v>
                      </c:pt>
                      <c:pt idx="98">
                        <c:v>77</c:v>
                      </c:pt>
                      <c:pt idx="99">
                        <c:v>55</c:v>
                      </c:pt>
                      <c:pt idx="100">
                        <c:v>74</c:v>
                      </c:pt>
                      <c:pt idx="101">
                        <c:v>73</c:v>
                      </c:pt>
                      <c:pt idx="102">
                        <c:v>67</c:v>
                      </c:pt>
                      <c:pt idx="103">
                        <c:v>72</c:v>
                      </c:pt>
                      <c:pt idx="104">
                        <c:v>43</c:v>
                      </c:pt>
                      <c:pt idx="105">
                        <c:v>69</c:v>
                      </c:pt>
                      <c:pt idx="106">
                        <c:v>70</c:v>
                      </c:pt>
                      <c:pt idx="107">
                        <c:v>75</c:v>
                      </c:pt>
                      <c:pt idx="108">
                        <c:v>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1B-4266-B04E-9ECD42EF86C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'MTC Regional PCIs 2022-2025'!$E$1</c15:sqref>
                        </c15:formulaRef>
                      </c:ext>
                    </c:extLst>
                    <c:strCache>
                      <c:ptCount val="1"/>
                      <c:pt idx="0">
                        <c:v>12/31/2024 PCI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'MTC Regional PCIs 2022-2025'!$A$2:$B$110</c15:sqref>
                        </c15:formulaRef>
                      </c:ext>
                    </c:extLst>
                    <c:multiLvlStrCache>
                      <c:ptCount val="109"/>
                      <c:lvl>
                        <c:pt idx="0">
                          <c:v>Alameda County</c:v>
                        </c:pt>
                        <c:pt idx="1">
                          <c:v>Alameda County</c:v>
                        </c:pt>
                        <c:pt idx="2">
                          <c:v>Alameda County</c:v>
                        </c:pt>
                        <c:pt idx="3">
                          <c:v>Napa County</c:v>
                        </c:pt>
                        <c:pt idx="4">
                          <c:v>Contra Costa County</c:v>
                        </c:pt>
                        <c:pt idx="5">
                          <c:v>San Mateo County</c:v>
                        </c:pt>
                        <c:pt idx="6">
                          <c:v>San Mateo County</c:v>
                        </c:pt>
                        <c:pt idx="7">
                          <c:v>Marin County</c:v>
                        </c:pt>
                        <c:pt idx="8">
                          <c:v>Solano County</c:v>
                        </c:pt>
                        <c:pt idx="9">
                          <c:v>Alameda County</c:v>
                        </c:pt>
                        <c:pt idx="10">
                          <c:v>Contra Costa County</c:v>
                        </c:pt>
                        <c:pt idx="11">
                          <c:v>San Mateo County</c:v>
                        </c:pt>
                        <c:pt idx="12">
                          <c:v>San Mateo County</c:v>
                        </c:pt>
                        <c:pt idx="13">
                          <c:v>Napa County</c:v>
                        </c:pt>
                        <c:pt idx="14">
                          <c:v>Santa Clara County</c:v>
                        </c:pt>
                        <c:pt idx="15">
                          <c:v>Contra Costa County</c:v>
                        </c:pt>
                        <c:pt idx="16">
                          <c:v>Sonoma County</c:v>
                        </c:pt>
                        <c:pt idx="17">
                          <c:v>San Mateo County</c:v>
                        </c:pt>
                        <c:pt idx="18">
                          <c:v>Contra Costa County</c:v>
                        </c:pt>
                        <c:pt idx="19">
                          <c:v>Contra Costa County</c:v>
                        </c:pt>
                        <c:pt idx="20">
                          <c:v>Marin County</c:v>
                        </c:pt>
                        <c:pt idx="21">
                          <c:v>Sonoma County</c:v>
                        </c:pt>
                        <c:pt idx="22">
                          <c:v>Santa Clara County</c:v>
                        </c:pt>
                        <c:pt idx="23">
                          <c:v>San Mateo County</c:v>
                        </c:pt>
                        <c:pt idx="24">
                          <c:v>Contra Costa County</c:v>
                        </c:pt>
                        <c:pt idx="25">
                          <c:v>Solano County</c:v>
                        </c:pt>
                        <c:pt idx="26">
                          <c:v>Alameda County</c:v>
                        </c:pt>
                        <c:pt idx="27">
                          <c:v>Contra Costa County</c:v>
                        </c:pt>
                        <c:pt idx="28">
                          <c:v>Alameda County</c:v>
                        </c:pt>
                        <c:pt idx="29">
                          <c:v>San Mateo County</c:v>
                        </c:pt>
                        <c:pt idx="30">
                          <c:v>Marin County</c:v>
                        </c:pt>
                        <c:pt idx="31">
                          <c:v>Solano County</c:v>
                        </c:pt>
                        <c:pt idx="32">
                          <c:v>San Mateo County</c:v>
                        </c:pt>
                        <c:pt idx="33">
                          <c:v>Alameda County</c:v>
                        </c:pt>
                        <c:pt idx="34">
                          <c:v>Santa Clara County</c:v>
                        </c:pt>
                        <c:pt idx="35">
                          <c:v>San Mateo County</c:v>
                        </c:pt>
                        <c:pt idx="36">
                          <c:v>Alameda County</c:v>
                        </c:pt>
                        <c:pt idx="37">
                          <c:v>Sonoma County</c:v>
                        </c:pt>
                        <c:pt idx="38">
                          <c:v>Napa County</c:v>
                        </c:pt>
                        <c:pt idx="39">
                          <c:v>Contra Costa County</c:v>
                        </c:pt>
                        <c:pt idx="40">
                          <c:v>San Mateo County</c:v>
                        </c:pt>
                        <c:pt idx="41">
                          <c:v>Contra Costa County</c:v>
                        </c:pt>
                        <c:pt idx="42">
                          <c:v>Marin County</c:v>
                        </c:pt>
                        <c:pt idx="43">
                          <c:v>Alameda County</c:v>
                        </c:pt>
                        <c:pt idx="44">
                          <c:v>Santa Clara County</c:v>
                        </c:pt>
                        <c:pt idx="45">
                          <c:v>Santa Clara County</c:v>
                        </c:pt>
                        <c:pt idx="46">
                          <c:v>Santa Clara County</c:v>
                        </c:pt>
                        <c:pt idx="47">
                          <c:v>Marin County</c:v>
                        </c:pt>
                        <c:pt idx="48">
                          <c:v>Contra Costa County</c:v>
                        </c:pt>
                        <c:pt idx="49">
                          <c:v>San Mateo County</c:v>
                        </c:pt>
                        <c:pt idx="50">
                          <c:v>San Mateo County</c:v>
                        </c:pt>
                        <c:pt idx="51">
                          <c:v>Marin County</c:v>
                        </c:pt>
                        <c:pt idx="52">
                          <c:v>Santa Clara County</c:v>
                        </c:pt>
                        <c:pt idx="53">
                          <c:v>Santa Clara County</c:v>
                        </c:pt>
                        <c:pt idx="54">
                          <c:v>Contra Costa County</c:v>
                        </c:pt>
                        <c:pt idx="55">
                          <c:v>Santa Clara County</c:v>
                        </c:pt>
                        <c:pt idx="56">
                          <c:v>Santa Clara County</c:v>
                        </c:pt>
                        <c:pt idx="57">
                          <c:v>Napa County</c:v>
                        </c:pt>
                        <c:pt idx="58">
                          <c:v>Napa County</c:v>
                        </c:pt>
                        <c:pt idx="59">
                          <c:v>Alameda County</c:v>
                        </c:pt>
                        <c:pt idx="60">
                          <c:v>Marin County</c:v>
                        </c:pt>
                        <c:pt idx="61">
                          <c:v>Alameda County</c:v>
                        </c:pt>
                        <c:pt idx="62">
                          <c:v>Contra Costa County</c:v>
                        </c:pt>
                        <c:pt idx="63">
                          <c:v>Contra Costa County</c:v>
                        </c:pt>
                        <c:pt idx="64">
                          <c:v>San Mateo County</c:v>
                        </c:pt>
                        <c:pt idx="65">
                          <c:v>Santa Clara County</c:v>
                        </c:pt>
                        <c:pt idx="66">
                          <c:v>Sonoma County</c:v>
                        </c:pt>
                        <c:pt idx="67">
                          <c:v>Alameda County</c:v>
                        </c:pt>
                        <c:pt idx="68">
                          <c:v>Contra Costa County</c:v>
                        </c:pt>
                        <c:pt idx="69">
                          <c:v>Contra Costa County</c:v>
                        </c:pt>
                        <c:pt idx="70">
                          <c:v>Contra Costa County</c:v>
                        </c:pt>
                        <c:pt idx="71">
                          <c:v>Alameda County</c:v>
                        </c:pt>
                        <c:pt idx="72">
                          <c:v>San Mateo County</c:v>
                        </c:pt>
                        <c:pt idx="73">
                          <c:v>San Mateo County</c:v>
                        </c:pt>
                        <c:pt idx="74">
                          <c:v>Contra Costa County</c:v>
                        </c:pt>
                        <c:pt idx="75">
                          <c:v>Solano County</c:v>
                        </c:pt>
                        <c:pt idx="76">
                          <c:v>Sonoma County</c:v>
                        </c:pt>
                        <c:pt idx="77">
                          <c:v>Marin County</c:v>
                        </c:pt>
                        <c:pt idx="78">
                          <c:v>Marin County</c:v>
                        </c:pt>
                        <c:pt idx="79">
                          <c:v>San Mateo County</c:v>
                        </c:pt>
                        <c:pt idx="80">
                          <c:v>San Mateo County</c:v>
                        </c:pt>
                        <c:pt idx="81">
                          <c:v>San Francisco County</c:v>
                        </c:pt>
                        <c:pt idx="82">
                          <c:v>Santa Clara County</c:v>
                        </c:pt>
                        <c:pt idx="83">
                          <c:v>Alameda County</c:v>
                        </c:pt>
                        <c:pt idx="84">
                          <c:v>San Mateo County</c:v>
                        </c:pt>
                        <c:pt idx="85">
                          <c:v>San Mateo County</c:v>
                        </c:pt>
                        <c:pt idx="86">
                          <c:v>Contra Costa County</c:v>
                        </c:pt>
                        <c:pt idx="87">
                          <c:v>Marin County</c:v>
                        </c:pt>
                        <c:pt idx="88">
                          <c:v>Contra Costa County</c:v>
                        </c:pt>
                        <c:pt idx="89">
                          <c:v>Santa Clara County</c:v>
                        </c:pt>
                        <c:pt idx="90">
                          <c:v>Santa Clara County</c:v>
                        </c:pt>
                        <c:pt idx="91">
                          <c:v>Sonoma County</c:v>
                        </c:pt>
                        <c:pt idx="92">
                          <c:v>Santa Clara County</c:v>
                        </c:pt>
                        <c:pt idx="93">
                          <c:v>Marin County</c:v>
                        </c:pt>
                        <c:pt idx="94">
                          <c:v>Sonoma County</c:v>
                        </c:pt>
                        <c:pt idx="95">
                          <c:v>Solano County</c:v>
                        </c:pt>
                        <c:pt idx="96">
                          <c:v>Sonoma County</c:v>
                        </c:pt>
                        <c:pt idx="97">
                          <c:v>Sonoma County</c:v>
                        </c:pt>
                        <c:pt idx="98">
                          <c:v>San Mateo County</c:v>
                        </c:pt>
                        <c:pt idx="99">
                          <c:v>Solano County</c:v>
                        </c:pt>
                        <c:pt idx="100">
                          <c:v>Santa Clara County</c:v>
                        </c:pt>
                        <c:pt idx="101">
                          <c:v>Marin County</c:v>
                        </c:pt>
                        <c:pt idx="102">
                          <c:v>Alameda County</c:v>
                        </c:pt>
                        <c:pt idx="103">
                          <c:v>Solano County</c:v>
                        </c:pt>
                        <c:pt idx="104">
                          <c:v>Solano County</c:v>
                        </c:pt>
                        <c:pt idx="105">
                          <c:v>Contra Costa County</c:v>
                        </c:pt>
                        <c:pt idx="106">
                          <c:v>Sonoma County</c:v>
                        </c:pt>
                        <c:pt idx="107">
                          <c:v>San Mateo County</c:v>
                        </c:pt>
                        <c:pt idx="108">
                          <c:v>Napa County</c:v>
                        </c:pt>
                      </c:lvl>
                      <c:lvl>
                        <c:pt idx="0">
                          <c:v>alamedaci</c:v>
                        </c:pt>
                        <c:pt idx="1">
                          <c:v>alamedaco</c:v>
                        </c:pt>
                        <c:pt idx="2">
                          <c:v>albanyci</c:v>
                        </c:pt>
                        <c:pt idx="3">
                          <c:v>AmericanCanyonci</c:v>
                        </c:pt>
                        <c:pt idx="4">
                          <c:v>antiochci</c:v>
                        </c:pt>
                        <c:pt idx="5">
                          <c:v>athertonci</c:v>
                        </c:pt>
                        <c:pt idx="6">
                          <c:v>Belmontci</c:v>
                        </c:pt>
                        <c:pt idx="7">
                          <c:v>belvedereci</c:v>
                        </c:pt>
                        <c:pt idx="8">
                          <c:v>beniciaci</c:v>
                        </c:pt>
                        <c:pt idx="9">
                          <c:v>berkeleyci</c:v>
                        </c:pt>
                        <c:pt idx="10">
                          <c:v>brentwoodci</c:v>
                        </c:pt>
                        <c:pt idx="11">
                          <c:v>brisbaneci</c:v>
                        </c:pt>
                        <c:pt idx="12">
                          <c:v>burlingameci</c:v>
                        </c:pt>
                        <c:pt idx="13">
                          <c:v>calistogaci</c:v>
                        </c:pt>
                        <c:pt idx="14">
                          <c:v>campbellci</c:v>
                        </c:pt>
                        <c:pt idx="15">
                          <c:v>claytonci</c:v>
                        </c:pt>
                        <c:pt idx="16">
                          <c:v>cloverdaleci</c:v>
                        </c:pt>
                        <c:pt idx="17">
                          <c:v>colmaci</c:v>
                        </c:pt>
                        <c:pt idx="18">
                          <c:v>concordci</c:v>
                        </c:pt>
                        <c:pt idx="19">
                          <c:v>contracostaco</c:v>
                        </c:pt>
                        <c:pt idx="20">
                          <c:v>cortemaderaci</c:v>
                        </c:pt>
                        <c:pt idx="21">
                          <c:v>cotatici</c:v>
                        </c:pt>
                        <c:pt idx="22">
                          <c:v>cupertinoci</c:v>
                        </c:pt>
                        <c:pt idx="23">
                          <c:v>dalyci</c:v>
                        </c:pt>
                        <c:pt idx="24">
                          <c:v>danvilleci</c:v>
                        </c:pt>
                        <c:pt idx="25">
                          <c:v>dixonci</c:v>
                        </c:pt>
                        <c:pt idx="26">
                          <c:v>dublinci</c:v>
                        </c:pt>
                        <c:pt idx="27">
                          <c:v>elcerritoci</c:v>
                        </c:pt>
                        <c:pt idx="28">
                          <c:v>emeryvilleci</c:v>
                        </c:pt>
                        <c:pt idx="29">
                          <c:v>epaloaltoci</c:v>
                        </c:pt>
                        <c:pt idx="30">
                          <c:v>fairfaxci</c:v>
                        </c:pt>
                        <c:pt idx="31">
                          <c:v>fairfieldci</c:v>
                        </c:pt>
                        <c:pt idx="32">
                          <c:v>fostercityci</c:v>
                        </c:pt>
                        <c:pt idx="33">
                          <c:v>fremontci</c:v>
                        </c:pt>
                        <c:pt idx="34">
                          <c:v>gilroyci</c:v>
                        </c:pt>
                        <c:pt idx="35">
                          <c:v>halfmoonbayci</c:v>
                        </c:pt>
                        <c:pt idx="36">
                          <c:v>haywardci</c:v>
                        </c:pt>
                        <c:pt idx="37">
                          <c:v>healdsburgci</c:v>
                        </c:pt>
                        <c:pt idx="38">
                          <c:v>helenaci</c:v>
                        </c:pt>
                        <c:pt idx="39">
                          <c:v>herculesci</c:v>
                        </c:pt>
                        <c:pt idx="40">
                          <c:v>hillsboroughci</c:v>
                        </c:pt>
                        <c:pt idx="41">
                          <c:v>lafayetteci</c:v>
                        </c:pt>
                        <c:pt idx="42">
                          <c:v>larkspurci</c:v>
                        </c:pt>
                        <c:pt idx="43">
                          <c:v>livermoreci</c:v>
                        </c:pt>
                        <c:pt idx="44">
                          <c:v>losaltosci</c:v>
                        </c:pt>
                        <c:pt idx="45">
                          <c:v>losaltoshillsci</c:v>
                        </c:pt>
                        <c:pt idx="46">
                          <c:v>losgatosci</c:v>
                        </c:pt>
                        <c:pt idx="47">
                          <c:v>marinco</c:v>
                        </c:pt>
                        <c:pt idx="48">
                          <c:v>martinezci</c:v>
                        </c:pt>
                        <c:pt idx="49">
                          <c:v>menloparkci</c:v>
                        </c:pt>
                        <c:pt idx="50">
                          <c:v>millbraeci</c:v>
                        </c:pt>
                        <c:pt idx="51">
                          <c:v>millvalleyci</c:v>
                        </c:pt>
                        <c:pt idx="52">
                          <c:v>milpitasci</c:v>
                        </c:pt>
                        <c:pt idx="53">
                          <c:v>MonteSerenoci</c:v>
                        </c:pt>
                        <c:pt idx="54">
                          <c:v>moragaci</c:v>
                        </c:pt>
                        <c:pt idx="55">
                          <c:v>morganhillci</c:v>
                        </c:pt>
                        <c:pt idx="56">
                          <c:v>mtnviewci</c:v>
                        </c:pt>
                        <c:pt idx="57">
                          <c:v>napaci</c:v>
                        </c:pt>
                        <c:pt idx="58">
                          <c:v>napaco</c:v>
                        </c:pt>
                        <c:pt idx="59">
                          <c:v>newarkci</c:v>
                        </c:pt>
                        <c:pt idx="60">
                          <c:v>novatoci</c:v>
                        </c:pt>
                        <c:pt idx="61">
                          <c:v>oaklandci</c:v>
                        </c:pt>
                        <c:pt idx="62">
                          <c:v>oakleyci</c:v>
                        </c:pt>
                        <c:pt idx="63">
                          <c:v>orindaci</c:v>
                        </c:pt>
                        <c:pt idx="64">
                          <c:v>pacificaci</c:v>
                        </c:pt>
                        <c:pt idx="65">
                          <c:v>paloaltoci</c:v>
                        </c:pt>
                        <c:pt idx="66">
                          <c:v>petalumaci</c:v>
                        </c:pt>
                        <c:pt idx="67">
                          <c:v>piedmontci</c:v>
                        </c:pt>
                        <c:pt idx="68">
                          <c:v>pinoleci</c:v>
                        </c:pt>
                        <c:pt idx="69">
                          <c:v>pittsburgci</c:v>
                        </c:pt>
                        <c:pt idx="70">
                          <c:v>pleasanthillci</c:v>
                        </c:pt>
                        <c:pt idx="71">
                          <c:v>pleasantonci</c:v>
                        </c:pt>
                        <c:pt idx="72">
                          <c:v>PortolaValleyci</c:v>
                        </c:pt>
                        <c:pt idx="73">
                          <c:v>redwoodci</c:v>
                        </c:pt>
                        <c:pt idx="74">
                          <c:v>richmondci</c:v>
                        </c:pt>
                        <c:pt idx="75">
                          <c:v>RioVistaci</c:v>
                        </c:pt>
                        <c:pt idx="76">
                          <c:v>rohnertparkci</c:v>
                        </c:pt>
                        <c:pt idx="77">
                          <c:v>rossci</c:v>
                        </c:pt>
                        <c:pt idx="78">
                          <c:v>sananselmoci</c:v>
                        </c:pt>
                        <c:pt idx="79">
                          <c:v>sanbrunoci</c:v>
                        </c:pt>
                        <c:pt idx="80">
                          <c:v>sancarlosci</c:v>
                        </c:pt>
                        <c:pt idx="81">
                          <c:v>SanFranci</c:v>
                        </c:pt>
                        <c:pt idx="82">
                          <c:v>sanjoseci</c:v>
                        </c:pt>
                        <c:pt idx="83">
                          <c:v>sanleandroci</c:v>
                        </c:pt>
                        <c:pt idx="84">
                          <c:v>sanmateoci</c:v>
                        </c:pt>
                        <c:pt idx="85">
                          <c:v>sanmateoco</c:v>
                        </c:pt>
                        <c:pt idx="86">
                          <c:v>sanpabloci</c:v>
                        </c:pt>
                        <c:pt idx="87">
                          <c:v>sanrafaelci</c:v>
                        </c:pt>
                        <c:pt idx="88">
                          <c:v>sanramonci</c:v>
                        </c:pt>
                        <c:pt idx="89">
                          <c:v>santaclaraci</c:v>
                        </c:pt>
                        <c:pt idx="90">
                          <c:v>santaclaraco</c:v>
                        </c:pt>
                        <c:pt idx="91">
                          <c:v>santarosaci</c:v>
                        </c:pt>
                        <c:pt idx="92">
                          <c:v>Saratogaci</c:v>
                        </c:pt>
                        <c:pt idx="93">
                          <c:v>sausalitoci</c:v>
                        </c:pt>
                        <c:pt idx="94">
                          <c:v>sebastopolci</c:v>
                        </c:pt>
                        <c:pt idx="95">
                          <c:v>Solanoco</c:v>
                        </c:pt>
                        <c:pt idx="96">
                          <c:v>sonomaci</c:v>
                        </c:pt>
                        <c:pt idx="97">
                          <c:v>sonomaco</c:v>
                        </c:pt>
                        <c:pt idx="98">
                          <c:v>southsanfranci</c:v>
                        </c:pt>
                        <c:pt idx="99">
                          <c:v>suisunci</c:v>
                        </c:pt>
                        <c:pt idx="100">
                          <c:v>sunnyvaleci</c:v>
                        </c:pt>
                        <c:pt idx="101">
                          <c:v>tiburonci</c:v>
                        </c:pt>
                        <c:pt idx="102">
                          <c:v>unioncityci</c:v>
                        </c:pt>
                        <c:pt idx="103">
                          <c:v>vacavilleci</c:v>
                        </c:pt>
                        <c:pt idx="104">
                          <c:v>vallejoci</c:v>
                        </c:pt>
                        <c:pt idx="105">
                          <c:v>walnutcreekci</c:v>
                        </c:pt>
                        <c:pt idx="106">
                          <c:v>windsorci</c:v>
                        </c:pt>
                        <c:pt idx="107">
                          <c:v>woodsideci</c:v>
                        </c:pt>
                        <c:pt idx="108">
                          <c:v>yountvilleci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'MTC Regional PCIs 2022-2025'!$E$2:$E$110</c15:sqref>
                        </c15:formulaRef>
                      </c:ext>
                    </c:extLst>
                    <c:numCache>
                      <c:formatCode>General</c:formatCode>
                      <c:ptCount val="109"/>
                      <c:pt idx="0">
                        <c:v>64</c:v>
                      </c:pt>
                      <c:pt idx="1">
                        <c:v>74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61</c:v>
                      </c:pt>
                      <c:pt idx="5">
                        <c:v>79</c:v>
                      </c:pt>
                      <c:pt idx="6">
                        <c:v>70</c:v>
                      </c:pt>
                      <c:pt idx="7">
                        <c:v>72</c:v>
                      </c:pt>
                      <c:pt idx="8">
                        <c:v>53</c:v>
                      </c:pt>
                      <c:pt idx="9">
                        <c:v>57</c:v>
                      </c:pt>
                      <c:pt idx="10">
                        <c:v>76</c:v>
                      </c:pt>
                      <c:pt idx="11">
                        <c:v>71</c:v>
                      </c:pt>
                      <c:pt idx="12">
                        <c:v>75</c:v>
                      </c:pt>
                      <c:pt idx="13">
                        <c:v>55</c:v>
                      </c:pt>
                      <c:pt idx="14">
                        <c:v>64</c:v>
                      </c:pt>
                      <c:pt idx="15">
                        <c:v>73</c:v>
                      </c:pt>
                      <c:pt idx="16">
                        <c:v>58</c:v>
                      </c:pt>
                      <c:pt idx="17">
                        <c:v>84</c:v>
                      </c:pt>
                      <c:pt idx="18">
                        <c:v>56</c:v>
                      </c:pt>
                      <c:pt idx="19">
                        <c:v>71</c:v>
                      </c:pt>
                      <c:pt idx="20">
                        <c:v>67</c:v>
                      </c:pt>
                      <c:pt idx="21">
                        <c:v>75</c:v>
                      </c:pt>
                      <c:pt idx="22">
                        <c:v>82</c:v>
                      </c:pt>
                      <c:pt idx="23">
                        <c:v>77</c:v>
                      </c:pt>
                      <c:pt idx="24">
                        <c:v>79</c:v>
                      </c:pt>
                      <c:pt idx="25">
                        <c:v>64</c:v>
                      </c:pt>
                      <c:pt idx="26">
                        <c:v>77</c:v>
                      </c:pt>
                      <c:pt idx="27">
                        <c:v>66</c:v>
                      </c:pt>
                      <c:pt idx="28">
                        <c:v>75</c:v>
                      </c:pt>
                      <c:pt idx="29">
                        <c:v>58</c:v>
                      </c:pt>
                      <c:pt idx="30">
                        <c:v>52</c:v>
                      </c:pt>
                      <c:pt idx="31">
                        <c:v>63</c:v>
                      </c:pt>
                      <c:pt idx="32">
                        <c:v>77</c:v>
                      </c:pt>
                      <c:pt idx="33">
                        <c:v>71</c:v>
                      </c:pt>
                      <c:pt idx="34">
                        <c:v>64</c:v>
                      </c:pt>
                      <c:pt idx="35">
                        <c:v>63</c:v>
                      </c:pt>
                      <c:pt idx="36">
                        <c:v>76</c:v>
                      </c:pt>
                      <c:pt idx="37">
                        <c:v>68</c:v>
                      </c:pt>
                      <c:pt idx="38">
                        <c:v>63</c:v>
                      </c:pt>
                      <c:pt idx="39">
                        <c:v>60</c:v>
                      </c:pt>
                      <c:pt idx="40">
                        <c:v>81</c:v>
                      </c:pt>
                      <c:pt idx="41">
                        <c:v>77</c:v>
                      </c:pt>
                      <c:pt idx="42">
                        <c:v>87</c:v>
                      </c:pt>
                      <c:pt idx="43">
                        <c:v>74</c:v>
                      </c:pt>
                      <c:pt idx="44">
                        <c:v>71</c:v>
                      </c:pt>
                      <c:pt idx="45">
                        <c:v>81</c:v>
                      </c:pt>
                      <c:pt idx="46">
                        <c:v>82</c:v>
                      </c:pt>
                      <c:pt idx="47">
                        <c:v>68</c:v>
                      </c:pt>
                      <c:pt idx="48">
                        <c:v>69</c:v>
                      </c:pt>
                      <c:pt idx="49">
                        <c:v>75</c:v>
                      </c:pt>
                      <c:pt idx="50">
                        <c:v>50</c:v>
                      </c:pt>
                      <c:pt idx="51">
                        <c:v>79</c:v>
                      </c:pt>
                      <c:pt idx="52">
                        <c:v>68</c:v>
                      </c:pt>
                      <c:pt idx="53">
                        <c:v>74</c:v>
                      </c:pt>
                      <c:pt idx="54">
                        <c:v>74</c:v>
                      </c:pt>
                      <c:pt idx="55">
                        <c:v>74</c:v>
                      </c:pt>
                      <c:pt idx="56">
                        <c:v>65</c:v>
                      </c:pt>
                      <c:pt idx="57">
                        <c:v>65</c:v>
                      </c:pt>
                      <c:pt idx="58">
                        <c:v>54</c:v>
                      </c:pt>
                      <c:pt idx="59">
                        <c:v>71</c:v>
                      </c:pt>
                      <c:pt idx="60">
                        <c:v>62</c:v>
                      </c:pt>
                      <c:pt idx="61">
                        <c:v>60</c:v>
                      </c:pt>
                      <c:pt idx="62">
                        <c:v>68</c:v>
                      </c:pt>
                      <c:pt idx="63">
                        <c:v>80</c:v>
                      </c:pt>
                      <c:pt idx="64">
                        <c:v>50</c:v>
                      </c:pt>
                      <c:pt idx="65">
                        <c:v>83</c:v>
                      </c:pt>
                      <c:pt idx="66">
                        <c:v>52</c:v>
                      </c:pt>
                      <c:pt idx="67">
                        <c:v>60</c:v>
                      </c:pt>
                      <c:pt idx="68">
                        <c:v>53</c:v>
                      </c:pt>
                      <c:pt idx="69">
                        <c:v>60</c:v>
                      </c:pt>
                      <c:pt idx="70">
                        <c:v>71</c:v>
                      </c:pt>
                      <c:pt idx="71">
                        <c:v>76</c:v>
                      </c:pt>
                      <c:pt idx="72">
                        <c:v>75</c:v>
                      </c:pt>
                      <c:pt idx="73">
                        <c:v>68</c:v>
                      </c:pt>
                      <c:pt idx="74">
                        <c:v>60</c:v>
                      </c:pt>
                      <c:pt idx="75">
                        <c:v>59</c:v>
                      </c:pt>
                      <c:pt idx="76">
                        <c:v>64</c:v>
                      </c:pt>
                      <c:pt idx="77">
                        <c:v>73</c:v>
                      </c:pt>
                      <c:pt idx="78">
                        <c:v>74</c:v>
                      </c:pt>
                      <c:pt idx="79">
                        <c:v>63</c:v>
                      </c:pt>
                      <c:pt idx="80">
                        <c:v>56</c:v>
                      </c:pt>
                      <c:pt idx="81">
                        <c:v>75</c:v>
                      </c:pt>
                      <c:pt idx="82">
                        <c:v>74</c:v>
                      </c:pt>
                      <c:pt idx="83">
                        <c:v>57</c:v>
                      </c:pt>
                      <c:pt idx="84">
                        <c:v>72</c:v>
                      </c:pt>
                      <c:pt idx="85">
                        <c:v>73</c:v>
                      </c:pt>
                      <c:pt idx="86">
                        <c:v>64</c:v>
                      </c:pt>
                      <c:pt idx="87">
                        <c:v>60</c:v>
                      </c:pt>
                      <c:pt idx="88">
                        <c:v>76</c:v>
                      </c:pt>
                      <c:pt idx="89">
                        <c:v>74</c:v>
                      </c:pt>
                      <c:pt idx="90">
                        <c:v>67</c:v>
                      </c:pt>
                      <c:pt idx="91">
                        <c:v>61</c:v>
                      </c:pt>
                      <c:pt idx="92">
                        <c:v>66</c:v>
                      </c:pt>
                      <c:pt idx="93">
                        <c:v>55</c:v>
                      </c:pt>
                      <c:pt idx="94">
                        <c:v>55</c:v>
                      </c:pt>
                      <c:pt idx="95">
                        <c:v>80</c:v>
                      </c:pt>
                      <c:pt idx="96">
                        <c:v>60</c:v>
                      </c:pt>
                      <c:pt idx="97">
                        <c:v>54</c:v>
                      </c:pt>
                      <c:pt idx="98">
                        <c:v>76</c:v>
                      </c:pt>
                      <c:pt idx="99">
                        <c:v>52</c:v>
                      </c:pt>
                      <c:pt idx="100">
                        <c:v>74</c:v>
                      </c:pt>
                      <c:pt idx="101">
                        <c:v>75</c:v>
                      </c:pt>
                      <c:pt idx="102">
                        <c:v>65</c:v>
                      </c:pt>
                      <c:pt idx="103">
                        <c:v>74</c:v>
                      </c:pt>
                      <c:pt idx="104">
                        <c:v>44</c:v>
                      </c:pt>
                      <c:pt idx="105">
                        <c:v>71</c:v>
                      </c:pt>
                      <c:pt idx="106">
                        <c:v>68</c:v>
                      </c:pt>
                      <c:pt idx="107">
                        <c:v>73</c:v>
                      </c:pt>
                      <c:pt idx="108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1B-4266-B04E-9ECD42EF86CD}"/>
                  </c:ext>
                </c:extLst>
              </c15:ser>
            </c15:filteredScatterSeries>
          </c:ext>
        </c:extLst>
      </c:scatterChart>
      <c:valAx>
        <c:axId val="75419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Jurisdiction Row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190879"/>
        <c:crosses val="autoZero"/>
        <c:crossBetween val="midCat"/>
      </c:valAx>
      <c:valAx>
        <c:axId val="75419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19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512737</xdr:colOff>
      <xdr:row>2</xdr:row>
      <xdr:rowOff>126473</xdr:rowOff>
    </xdr:from>
    <xdr:to>
      <xdr:col>42</xdr:col>
      <xdr:colOff>545843</xdr:colOff>
      <xdr:row>29</xdr:row>
      <xdr:rowOff>122510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FA697-2D0C-1C0F-7AB3-327BB19A8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100703</xdr:colOff>
      <xdr:row>35</xdr:row>
      <xdr:rowOff>1665</xdr:rowOff>
    </xdr:from>
    <xdr:to>
      <xdr:col>46</xdr:col>
      <xdr:colOff>298257</xdr:colOff>
      <xdr:row>75</xdr:row>
      <xdr:rowOff>25658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A9D34F-AEE2-7C0C-8292-90C32E491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iott Wong" refreshedDate="45860.496928935187" createdVersion="8" refreshedVersion="8" minRefreshableVersion="3" recordCount="436" xr:uid="{8F99D230-9760-4D2F-9B2C-A4B5DC2E7B6C}">
  <cacheSource type="worksheet">
    <worksheetSource ref="A1:D437" sheet="DevMecca SS PCI Export"/>
  </cacheSource>
  <cacheFields count="7">
    <cacheField name="Jurisdiction" numFmtId="0">
      <sharedItems count="109">
        <s v="alamedaci"/>
        <s v="alamedaco"/>
        <s v="albanyci"/>
        <s v="AmericanCanyonci"/>
        <s v="antiochci"/>
        <s v="athertonci"/>
        <s v="Belmontci"/>
        <s v="belvedereci"/>
        <s v="beniciaci"/>
        <s v="berkeleyci"/>
        <s v="brentwoodci"/>
        <s v="brisbaneci"/>
        <s v="burlingameci"/>
        <s v="calistogaci"/>
        <s v="campbellci"/>
        <s v="claytonci"/>
        <s v="cloverdaleci"/>
        <s v="colmaci"/>
        <s v="concordci"/>
        <s v="contracostaco"/>
        <s v="cortemaderaci"/>
        <s v="cotatici"/>
        <s v="cupertinoci"/>
        <s v="dalyci"/>
        <s v="danvilleci"/>
        <s v="dixonci"/>
        <s v="dublinci"/>
        <s v="elcerritoci"/>
        <s v="emeryvilleci"/>
        <s v="epaloaltoci"/>
        <s v="fairfaxci"/>
        <s v="fairfieldci"/>
        <s v="fostercityci"/>
        <s v="fremontci"/>
        <s v="gilroyci"/>
        <s v="halfmoonbayci"/>
        <s v="haywardci"/>
        <s v="healdsburgci"/>
        <s v="helenaci"/>
        <s v="herculesci"/>
        <s v="hillsboroughci"/>
        <s v="lafayetteci"/>
        <s v="larkspurci"/>
        <s v="livermoreci"/>
        <s v="losaltosci"/>
        <s v="losaltoshillsci"/>
        <s v="losgatosci"/>
        <s v="marinco"/>
        <s v="martinezci"/>
        <s v="menloparkci"/>
        <s v="millbraeci"/>
        <s v="millvalleyci"/>
        <s v="milpitasci"/>
        <s v="MonteSerenoci"/>
        <s v="moragaci"/>
        <s v="morganhillci"/>
        <s v="mtnviewci"/>
        <s v="napaci"/>
        <s v="napaco"/>
        <s v="newarkci"/>
        <s v="novatoci"/>
        <s v="oaklandci"/>
        <s v="oakleyci"/>
        <s v="orindaci"/>
        <s v="pacificaci"/>
        <s v="paloaltoci"/>
        <s v="petalumaci"/>
        <s v="piedmontci"/>
        <s v="pinoleci"/>
        <s v="pittsburgci"/>
        <s v="pleasanthillci"/>
        <s v="pleasantonci"/>
        <s v="PortolaValleyci"/>
        <s v="redwoodci"/>
        <s v="richmondci"/>
        <s v="RioVistaci"/>
        <s v="rohnertparkci"/>
        <s v="rossci"/>
        <s v="sananselmoci"/>
        <s v="sanbrunoci"/>
        <s v="sancarlosci"/>
        <s v="SanFranci"/>
        <s v="sanjoseci"/>
        <s v="sanleandroci"/>
        <s v="sanmateoci"/>
        <s v="sanmateoco"/>
        <s v="sanpabloci"/>
        <s v="sanrafaelci"/>
        <s v="sanramonci"/>
        <s v="santaclaraci"/>
        <s v="santaclaraco"/>
        <s v="santarosaci"/>
        <s v="Saratogaci"/>
        <s v="sausalitoci"/>
        <s v="sebastopolci"/>
        <s v="Solanoco"/>
        <s v="sonomaci"/>
        <s v="sonomaco"/>
        <s v="southsanfranci"/>
        <s v="suisunci"/>
        <s v="sunnyvaleci"/>
        <s v="tiburonci"/>
        <s v="unioncityci"/>
        <s v="vacavilleci"/>
        <s v="vallejoci"/>
        <s v="walnutcreekci"/>
        <s v="windsorci"/>
        <s v="woodsideci"/>
        <s v="yountvilleci"/>
      </sharedItems>
    </cacheField>
    <cacheField name="County" numFmtId="0">
      <sharedItems count="9">
        <s v="Alameda County"/>
        <s v="Napa County"/>
        <s v="Contra Costa County"/>
        <s v="San Mateo County"/>
        <s v="Marin County"/>
        <s v="Solano County"/>
        <s v="Santa Clara County"/>
        <s v="Sonoma County"/>
        <s v="San Francisco County"/>
      </sharedItems>
    </cacheField>
    <cacheField name="PCI" numFmtId="0">
      <sharedItems containsSemiMixedTypes="0" containsString="0" containsNumber="1" containsInteger="1" minValue="42" maxValue="89"/>
    </cacheField>
    <cacheField name="Date" numFmtId="14">
      <sharedItems containsSemiMixedTypes="0" containsNonDate="0" containsDate="1" containsString="0" minDate="2022-12-31T00:00:00" maxDate="2025-07-16T00:00:00" count="4">
        <d v="2022-12-31T00:00:00"/>
        <d v="2023-12-31T00:00:00"/>
        <d v="2024-12-31T00:00:00"/>
        <d v="2025-07-15T00:00:00"/>
      </sharedItems>
      <fieldGroup par="6"/>
    </cacheField>
    <cacheField name="Months (Date)" numFmtId="0" databaseField="0">
      <fieldGroup base="3">
        <rangePr groupBy="months" startDate="2022-12-31T00:00:00" endDate="2025-07-16T00:00:00"/>
        <groupItems count="14">
          <s v="&lt;12/3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6/2025"/>
        </groupItems>
      </fieldGroup>
    </cacheField>
    <cacheField name="Quarters (Date)" numFmtId="0" databaseField="0">
      <fieldGroup base="3">
        <rangePr groupBy="quarters" startDate="2022-12-31T00:00:00" endDate="2025-07-16T00:00:00"/>
        <groupItems count="6">
          <s v="&lt;12/31/2022"/>
          <s v="Qtr1"/>
          <s v="Qtr2"/>
          <s v="Qtr3"/>
          <s v="Qtr4"/>
          <s v="&gt;7/16/2025"/>
        </groupItems>
      </fieldGroup>
    </cacheField>
    <cacheField name="Years (Date)" numFmtId="0" databaseField="0">
      <fieldGroup base="3">
        <rangePr groupBy="years" startDate="2022-12-31T00:00:00" endDate="2025-07-16T00:00:00"/>
        <groupItems count="6">
          <s v="&lt;12/31/2022"/>
          <s v="2022"/>
          <s v="2023"/>
          <s v="2024"/>
          <s v="2025"/>
          <s v="&gt;7/1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x v="0"/>
    <x v="0"/>
    <n v="67"/>
    <x v="0"/>
  </r>
  <r>
    <x v="0"/>
    <x v="0"/>
    <n v="65"/>
    <x v="1"/>
  </r>
  <r>
    <x v="0"/>
    <x v="0"/>
    <n v="64"/>
    <x v="2"/>
  </r>
  <r>
    <x v="0"/>
    <x v="0"/>
    <n v="63"/>
    <x v="3"/>
  </r>
  <r>
    <x v="1"/>
    <x v="0"/>
    <n v="74"/>
    <x v="0"/>
  </r>
  <r>
    <x v="1"/>
    <x v="0"/>
    <n v="72"/>
    <x v="1"/>
  </r>
  <r>
    <x v="1"/>
    <x v="0"/>
    <n v="74"/>
    <x v="2"/>
  </r>
  <r>
    <x v="1"/>
    <x v="0"/>
    <n v="73"/>
    <x v="3"/>
  </r>
  <r>
    <x v="2"/>
    <x v="0"/>
    <n v="59"/>
    <x v="0"/>
  </r>
  <r>
    <x v="2"/>
    <x v="0"/>
    <n v="58"/>
    <x v="1"/>
  </r>
  <r>
    <x v="2"/>
    <x v="0"/>
    <n v="59"/>
    <x v="2"/>
  </r>
  <r>
    <x v="2"/>
    <x v="0"/>
    <n v="58"/>
    <x v="3"/>
  </r>
  <r>
    <x v="3"/>
    <x v="1"/>
    <n v="60"/>
    <x v="0"/>
  </r>
  <r>
    <x v="3"/>
    <x v="1"/>
    <n v="59"/>
    <x v="1"/>
  </r>
  <r>
    <x v="3"/>
    <x v="1"/>
    <n v="56"/>
    <x v="2"/>
  </r>
  <r>
    <x v="3"/>
    <x v="1"/>
    <n v="55"/>
    <x v="3"/>
  </r>
  <r>
    <x v="4"/>
    <x v="2"/>
    <n v="65"/>
    <x v="0"/>
  </r>
  <r>
    <x v="4"/>
    <x v="2"/>
    <n v="63"/>
    <x v="1"/>
  </r>
  <r>
    <x v="4"/>
    <x v="2"/>
    <n v="61"/>
    <x v="2"/>
  </r>
  <r>
    <x v="4"/>
    <x v="2"/>
    <n v="60"/>
    <x v="3"/>
  </r>
  <r>
    <x v="5"/>
    <x v="3"/>
    <n v="75"/>
    <x v="0"/>
  </r>
  <r>
    <x v="5"/>
    <x v="3"/>
    <n v="73"/>
    <x v="1"/>
  </r>
  <r>
    <x v="5"/>
    <x v="3"/>
    <n v="79"/>
    <x v="2"/>
  </r>
  <r>
    <x v="5"/>
    <x v="3"/>
    <n v="78"/>
    <x v="3"/>
  </r>
  <r>
    <x v="6"/>
    <x v="3"/>
    <n v="65"/>
    <x v="0"/>
  </r>
  <r>
    <x v="6"/>
    <x v="3"/>
    <n v="68"/>
    <x v="1"/>
  </r>
  <r>
    <x v="6"/>
    <x v="3"/>
    <n v="70"/>
    <x v="2"/>
  </r>
  <r>
    <x v="6"/>
    <x v="3"/>
    <n v="69"/>
    <x v="3"/>
  </r>
  <r>
    <x v="7"/>
    <x v="4"/>
    <n v="70"/>
    <x v="0"/>
  </r>
  <r>
    <x v="7"/>
    <x v="4"/>
    <n v="73"/>
    <x v="1"/>
  </r>
  <r>
    <x v="7"/>
    <x v="4"/>
    <n v="72"/>
    <x v="2"/>
  </r>
  <r>
    <x v="7"/>
    <x v="4"/>
    <n v="71"/>
    <x v="3"/>
  </r>
  <r>
    <x v="8"/>
    <x v="5"/>
    <n v="52"/>
    <x v="0"/>
  </r>
  <r>
    <x v="8"/>
    <x v="5"/>
    <n v="55"/>
    <x v="1"/>
  </r>
  <r>
    <x v="8"/>
    <x v="5"/>
    <n v="53"/>
    <x v="2"/>
  </r>
  <r>
    <x v="8"/>
    <x v="5"/>
    <n v="52"/>
    <x v="3"/>
  </r>
  <r>
    <x v="9"/>
    <x v="0"/>
    <n v="56"/>
    <x v="0"/>
  </r>
  <r>
    <x v="9"/>
    <x v="0"/>
    <n v="55"/>
    <x v="1"/>
  </r>
  <r>
    <x v="9"/>
    <x v="0"/>
    <n v="57"/>
    <x v="2"/>
  </r>
  <r>
    <x v="9"/>
    <x v="0"/>
    <n v="56"/>
    <x v="3"/>
  </r>
  <r>
    <x v="10"/>
    <x v="2"/>
    <n v="79"/>
    <x v="0"/>
  </r>
  <r>
    <x v="10"/>
    <x v="2"/>
    <n v="78"/>
    <x v="1"/>
  </r>
  <r>
    <x v="10"/>
    <x v="2"/>
    <n v="76"/>
    <x v="2"/>
  </r>
  <r>
    <x v="10"/>
    <x v="2"/>
    <n v="75"/>
    <x v="3"/>
  </r>
  <r>
    <x v="11"/>
    <x v="3"/>
    <n v="74"/>
    <x v="0"/>
  </r>
  <r>
    <x v="11"/>
    <x v="3"/>
    <n v="72"/>
    <x v="1"/>
  </r>
  <r>
    <x v="11"/>
    <x v="3"/>
    <n v="71"/>
    <x v="2"/>
  </r>
  <r>
    <x v="11"/>
    <x v="3"/>
    <n v="69"/>
    <x v="3"/>
  </r>
  <r>
    <x v="12"/>
    <x v="3"/>
    <n v="77"/>
    <x v="0"/>
  </r>
  <r>
    <x v="12"/>
    <x v="3"/>
    <n v="76"/>
    <x v="1"/>
  </r>
  <r>
    <x v="12"/>
    <x v="3"/>
    <n v="75"/>
    <x v="2"/>
  </r>
  <r>
    <x v="12"/>
    <x v="3"/>
    <n v="74"/>
    <x v="3"/>
  </r>
  <r>
    <x v="13"/>
    <x v="1"/>
    <n v="59"/>
    <x v="0"/>
  </r>
  <r>
    <x v="13"/>
    <x v="1"/>
    <n v="57"/>
    <x v="1"/>
  </r>
  <r>
    <x v="13"/>
    <x v="1"/>
    <n v="55"/>
    <x v="2"/>
  </r>
  <r>
    <x v="13"/>
    <x v="1"/>
    <n v="54"/>
    <x v="3"/>
  </r>
  <r>
    <x v="14"/>
    <x v="6"/>
    <n v="69"/>
    <x v="0"/>
  </r>
  <r>
    <x v="14"/>
    <x v="6"/>
    <n v="66"/>
    <x v="1"/>
  </r>
  <r>
    <x v="14"/>
    <x v="6"/>
    <n v="64"/>
    <x v="2"/>
  </r>
  <r>
    <x v="14"/>
    <x v="6"/>
    <n v="63"/>
    <x v="3"/>
  </r>
  <r>
    <x v="15"/>
    <x v="2"/>
    <n v="78"/>
    <x v="0"/>
  </r>
  <r>
    <x v="15"/>
    <x v="2"/>
    <n v="77"/>
    <x v="1"/>
  </r>
  <r>
    <x v="15"/>
    <x v="2"/>
    <n v="73"/>
    <x v="2"/>
  </r>
  <r>
    <x v="15"/>
    <x v="2"/>
    <n v="72"/>
    <x v="3"/>
  </r>
  <r>
    <x v="16"/>
    <x v="7"/>
    <n v="60"/>
    <x v="0"/>
  </r>
  <r>
    <x v="16"/>
    <x v="7"/>
    <n v="58"/>
    <x v="1"/>
  </r>
  <r>
    <x v="16"/>
    <x v="7"/>
    <n v="58"/>
    <x v="2"/>
  </r>
  <r>
    <x v="16"/>
    <x v="7"/>
    <n v="57"/>
    <x v="3"/>
  </r>
  <r>
    <x v="17"/>
    <x v="3"/>
    <n v="76"/>
    <x v="0"/>
  </r>
  <r>
    <x v="17"/>
    <x v="3"/>
    <n v="74"/>
    <x v="1"/>
  </r>
  <r>
    <x v="17"/>
    <x v="3"/>
    <n v="84"/>
    <x v="2"/>
  </r>
  <r>
    <x v="17"/>
    <x v="3"/>
    <n v="83"/>
    <x v="3"/>
  </r>
  <r>
    <x v="18"/>
    <x v="2"/>
    <n v="55"/>
    <x v="0"/>
  </r>
  <r>
    <x v="18"/>
    <x v="2"/>
    <n v="55"/>
    <x v="1"/>
  </r>
  <r>
    <x v="18"/>
    <x v="2"/>
    <n v="56"/>
    <x v="2"/>
  </r>
  <r>
    <x v="18"/>
    <x v="2"/>
    <n v="54"/>
    <x v="3"/>
  </r>
  <r>
    <x v="19"/>
    <x v="2"/>
    <n v="70"/>
    <x v="0"/>
  </r>
  <r>
    <x v="19"/>
    <x v="2"/>
    <n v="73"/>
    <x v="1"/>
  </r>
  <r>
    <x v="19"/>
    <x v="2"/>
    <n v="71"/>
    <x v="2"/>
  </r>
  <r>
    <x v="19"/>
    <x v="2"/>
    <n v="70"/>
    <x v="3"/>
  </r>
  <r>
    <x v="20"/>
    <x v="4"/>
    <n v="66"/>
    <x v="0"/>
  </r>
  <r>
    <x v="20"/>
    <x v="4"/>
    <n v="69"/>
    <x v="1"/>
  </r>
  <r>
    <x v="20"/>
    <x v="4"/>
    <n v="67"/>
    <x v="2"/>
  </r>
  <r>
    <x v="20"/>
    <x v="4"/>
    <n v="66"/>
    <x v="3"/>
  </r>
  <r>
    <x v="21"/>
    <x v="7"/>
    <n v="66"/>
    <x v="0"/>
  </r>
  <r>
    <x v="21"/>
    <x v="7"/>
    <n v="74"/>
    <x v="1"/>
  </r>
  <r>
    <x v="21"/>
    <x v="7"/>
    <n v="75"/>
    <x v="2"/>
  </r>
  <r>
    <x v="21"/>
    <x v="7"/>
    <n v="74"/>
    <x v="3"/>
  </r>
  <r>
    <x v="22"/>
    <x v="6"/>
    <n v="82"/>
    <x v="0"/>
  </r>
  <r>
    <x v="22"/>
    <x v="6"/>
    <n v="81"/>
    <x v="1"/>
  </r>
  <r>
    <x v="22"/>
    <x v="6"/>
    <n v="82"/>
    <x v="2"/>
  </r>
  <r>
    <x v="22"/>
    <x v="6"/>
    <n v="81"/>
    <x v="3"/>
  </r>
  <r>
    <x v="23"/>
    <x v="3"/>
    <n v="79"/>
    <x v="0"/>
  </r>
  <r>
    <x v="23"/>
    <x v="3"/>
    <n v="79"/>
    <x v="1"/>
  </r>
  <r>
    <x v="23"/>
    <x v="3"/>
    <n v="77"/>
    <x v="2"/>
  </r>
  <r>
    <x v="23"/>
    <x v="3"/>
    <n v="76"/>
    <x v="3"/>
  </r>
  <r>
    <x v="24"/>
    <x v="2"/>
    <n v="77"/>
    <x v="0"/>
  </r>
  <r>
    <x v="24"/>
    <x v="2"/>
    <n v="78"/>
    <x v="1"/>
  </r>
  <r>
    <x v="24"/>
    <x v="2"/>
    <n v="79"/>
    <x v="2"/>
  </r>
  <r>
    <x v="24"/>
    <x v="2"/>
    <n v="78"/>
    <x v="3"/>
  </r>
  <r>
    <x v="25"/>
    <x v="5"/>
    <n v="63"/>
    <x v="0"/>
  </r>
  <r>
    <x v="25"/>
    <x v="5"/>
    <n v="67"/>
    <x v="1"/>
  </r>
  <r>
    <x v="25"/>
    <x v="5"/>
    <n v="64"/>
    <x v="2"/>
  </r>
  <r>
    <x v="25"/>
    <x v="5"/>
    <n v="63"/>
    <x v="3"/>
  </r>
  <r>
    <x v="26"/>
    <x v="0"/>
    <n v="78"/>
    <x v="0"/>
  </r>
  <r>
    <x v="26"/>
    <x v="0"/>
    <n v="78"/>
    <x v="1"/>
  </r>
  <r>
    <x v="26"/>
    <x v="0"/>
    <n v="77"/>
    <x v="2"/>
  </r>
  <r>
    <x v="26"/>
    <x v="0"/>
    <n v="77"/>
    <x v="3"/>
  </r>
  <r>
    <x v="27"/>
    <x v="2"/>
    <n v="69"/>
    <x v="0"/>
  </r>
  <r>
    <x v="27"/>
    <x v="2"/>
    <n v="68"/>
    <x v="1"/>
  </r>
  <r>
    <x v="27"/>
    <x v="2"/>
    <n v="66"/>
    <x v="2"/>
  </r>
  <r>
    <x v="27"/>
    <x v="2"/>
    <n v="65"/>
    <x v="3"/>
  </r>
  <r>
    <x v="28"/>
    <x v="0"/>
    <n v="81"/>
    <x v="0"/>
  </r>
  <r>
    <x v="28"/>
    <x v="0"/>
    <n v="79"/>
    <x v="1"/>
  </r>
  <r>
    <x v="28"/>
    <x v="0"/>
    <n v="75"/>
    <x v="2"/>
  </r>
  <r>
    <x v="28"/>
    <x v="0"/>
    <n v="74"/>
    <x v="3"/>
  </r>
  <r>
    <x v="29"/>
    <x v="3"/>
    <n v="61"/>
    <x v="0"/>
  </r>
  <r>
    <x v="29"/>
    <x v="3"/>
    <n v="60"/>
    <x v="1"/>
  </r>
  <r>
    <x v="29"/>
    <x v="3"/>
    <n v="58"/>
    <x v="2"/>
  </r>
  <r>
    <x v="29"/>
    <x v="3"/>
    <n v="57"/>
    <x v="3"/>
  </r>
  <r>
    <x v="30"/>
    <x v="4"/>
    <n v="55"/>
    <x v="0"/>
  </r>
  <r>
    <x v="30"/>
    <x v="4"/>
    <n v="53"/>
    <x v="1"/>
  </r>
  <r>
    <x v="30"/>
    <x v="4"/>
    <n v="52"/>
    <x v="2"/>
  </r>
  <r>
    <x v="30"/>
    <x v="4"/>
    <n v="51"/>
    <x v="3"/>
  </r>
  <r>
    <x v="31"/>
    <x v="5"/>
    <n v="64"/>
    <x v="0"/>
  </r>
  <r>
    <x v="31"/>
    <x v="5"/>
    <n v="65"/>
    <x v="1"/>
  </r>
  <r>
    <x v="31"/>
    <x v="5"/>
    <n v="63"/>
    <x v="2"/>
  </r>
  <r>
    <x v="31"/>
    <x v="5"/>
    <n v="61"/>
    <x v="3"/>
  </r>
  <r>
    <x v="32"/>
    <x v="3"/>
    <n v="77"/>
    <x v="0"/>
  </r>
  <r>
    <x v="32"/>
    <x v="3"/>
    <n v="78"/>
    <x v="1"/>
  </r>
  <r>
    <x v="32"/>
    <x v="3"/>
    <n v="77"/>
    <x v="2"/>
  </r>
  <r>
    <x v="32"/>
    <x v="3"/>
    <n v="76"/>
    <x v="3"/>
  </r>
  <r>
    <x v="33"/>
    <x v="0"/>
    <n v="71"/>
    <x v="0"/>
  </r>
  <r>
    <x v="33"/>
    <x v="0"/>
    <n v="70"/>
    <x v="1"/>
  </r>
  <r>
    <x v="33"/>
    <x v="0"/>
    <n v="71"/>
    <x v="2"/>
  </r>
  <r>
    <x v="33"/>
    <x v="0"/>
    <n v="69"/>
    <x v="3"/>
  </r>
  <r>
    <x v="34"/>
    <x v="6"/>
    <n v="61"/>
    <x v="0"/>
  </r>
  <r>
    <x v="34"/>
    <x v="6"/>
    <n v="64"/>
    <x v="1"/>
  </r>
  <r>
    <x v="34"/>
    <x v="6"/>
    <n v="64"/>
    <x v="2"/>
  </r>
  <r>
    <x v="34"/>
    <x v="6"/>
    <n v="62"/>
    <x v="3"/>
  </r>
  <r>
    <x v="35"/>
    <x v="3"/>
    <n v="66"/>
    <x v="0"/>
  </r>
  <r>
    <x v="35"/>
    <x v="3"/>
    <n v="64"/>
    <x v="1"/>
  </r>
  <r>
    <x v="35"/>
    <x v="3"/>
    <n v="63"/>
    <x v="2"/>
  </r>
  <r>
    <x v="35"/>
    <x v="3"/>
    <n v="62"/>
    <x v="3"/>
  </r>
  <r>
    <x v="36"/>
    <x v="0"/>
    <n v="70"/>
    <x v="0"/>
  </r>
  <r>
    <x v="36"/>
    <x v="0"/>
    <n v="73"/>
    <x v="1"/>
  </r>
  <r>
    <x v="36"/>
    <x v="0"/>
    <n v="76"/>
    <x v="2"/>
  </r>
  <r>
    <x v="36"/>
    <x v="0"/>
    <n v="74"/>
    <x v="3"/>
  </r>
  <r>
    <x v="37"/>
    <x v="7"/>
    <n v="72"/>
    <x v="0"/>
  </r>
  <r>
    <x v="37"/>
    <x v="7"/>
    <n v="70"/>
    <x v="1"/>
  </r>
  <r>
    <x v="37"/>
    <x v="7"/>
    <n v="68"/>
    <x v="2"/>
  </r>
  <r>
    <x v="37"/>
    <x v="7"/>
    <n v="67"/>
    <x v="3"/>
  </r>
  <r>
    <x v="38"/>
    <x v="1"/>
    <n v="48"/>
    <x v="0"/>
  </r>
  <r>
    <x v="38"/>
    <x v="1"/>
    <n v="52"/>
    <x v="1"/>
  </r>
  <r>
    <x v="38"/>
    <x v="1"/>
    <n v="63"/>
    <x v="2"/>
  </r>
  <r>
    <x v="38"/>
    <x v="1"/>
    <n v="61"/>
    <x v="3"/>
  </r>
  <r>
    <x v="39"/>
    <x v="2"/>
    <n v="64"/>
    <x v="0"/>
  </r>
  <r>
    <x v="39"/>
    <x v="2"/>
    <n v="62"/>
    <x v="1"/>
  </r>
  <r>
    <x v="39"/>
    <x v="2"/>
    <n v="60"/>
    <x v="2"/>
  </r>
  <r>
    <x v="39"/>
    <x v="2"/>
    <n v="59"/>
    <x v="3"/>
  </r>
  <r>
    <x v="40"/>
    <x v="3"/>
    <n v="80"/>
    <x v="0"/>
  </r>
  <r>
    <x v="40"/>
    <x v="3"/>
    <n v="83"/>
    <x v="1"/>
  </r>
  <r>
    <x v="40"/>
    <x v="3"/>
    <n v="81"/>
    <x v="2"/>
  </r>
  <r>
    <x v="40"/>
    <x v="3"/>
    <n v="79"/>
    <x v="3"/>
  </r>
  <r>
    <x v="41"/>
    <x v="2"/>
    <n v="75"/>
    <x v="0"/>
  </r>
  <r>
    <x v="41"/>
    <x v="2"/>
    <n v="73"/>
    <x v="1"/>
  </r>
  <r>
    <x v="41"/>
    <x v="2"/>
    <n v="77"/>
    <x v="2"/>
  </r>
  <r>
    <x v="41"/>
    <x v="2"/>
    <n v="76"/>
    <x v="3"/>
  </r>
  <r>
    <x v="42"/>
    <x v="4"/>
    <n v="85"/>
    <x v="0"/>
  </r>
  <r>
    <x v="42"/>
    <x v="4"/>
    <n v="89"/>
    <x v="1"/>
  </r>
  <r>
    <x v="42"/>
    <x v="4"/>
    <n v="87"/>
    <x v="2"/>
  </r>
  <r>
    <x v="42"/>
    <x v="4"/>
    <n v="86"/>
    <x v="3"/>
  </r>
  <r>
    <x v="43"/>
    <x v="0"/>
    <n v="76"/>
    <x v="0"/>
  </r>
  <r>
    <x v="43"/>
    <x v="0"/>
    <n v="76"/>
    <x v="1"/>
  </r>
  <r>
    <x v="43"/>
    <x v="0"/>
    <n v="74"/>
    <x v="2"/>
  </r>
  <r>
    <x v="43"/>
    <x v="0"/>
    <n v="73"/>
    <x v="3"/>
  </r>
  <r>
    <x v="44"/>
    <x v="6"/>
    <n v="75"/>
    <x v="0"/>
  </r>
  <r>
    <x v="44"/>
    <x v="6"/>
    <n v="73"/>
    <x v="1"/>
  </r>
  <r>
    <x v="44"/>
    <x v="6"/>
    <n v="71"/>
    <x v="2"/>
  </r>
  <r>
    <x v="44"/>
    <x v="6"/>
    <n v="70"/>
    <x v="3"/>
  </r>
  <r>
    <x v="45"/>
    <x v="6"/>
    <n v="79"/>
    <x v="0"/>
  </r>
  <r>
    <x v="45"/>
    <x v="6"/>
    <n v="79"/>
    <x v="1"/>
  </r>
  <r>
    <x v="45"/>
    <x v="6"/>
    <n v="81"/>
    <x v="2"/>
  </r>
  <r>
    <x v="45"/>
    <x v="6"/>
    <n v="80"/>
    <x v="3"/>
  </r>
  <r>
    <x v="46"/>
    <x v="6"/>
    <n v="73"/>
    <x v="0"/>
  </r>
  <r>
    <x v="46"/>
    <x v="6"/>
    <n v="75"/>
    <x v="1"/>
  </r>
  <r>
    <x v="46"/>
    <x v="6"/>
    <n v="82"/>
    <x v="2"/>
  </r>
  <r>
    <x v="46"/>
    <x v="6"/>
    <n v="81"/>
    <x v="3"/>
  </r>
  <r>
    <x v="47"/>
    <x v="4"/>
    <n v="66"/>
    <x v="0"/>
  </r>
  <r>
    <x v="47"/>
    <x v="4"/>
    <n v="67"/>
    <x v="1"/>
  </r>
  <r>
    <x v="47"/>
    <x v="4"/>
    <n v="68"/>
    <x v="2"/>
  </r>
  <r>
    <x v="47"/>
    <x v="4"/>
    <n v="67"/>
    <x v="3"/>
  </r>
  <r>
    <x v="48"/>
    <x v="2"/>
    <n v="69"/>
    <x v="0"/>
  </r>
  <r>
    <x v="48"/>
    <x v="2"/>
    <n v="69"/>
    <x v="1"/>
  </r>
  <r>
    <x v="48"/>
    <x v="2"/>
    <n v="69"/>
    <x v="2"/>
  </r>
  <r>
    <x v="48"/>
    <x v="2"/>
    <n v="68"/>
    <x v="3"/>
  </r>
  <r>
    <x v="49"/>
    <x v="3"/>
    <n v="77"/>
    <x v="0"/>
  </r>
  <r>
    <x v="49"/>
    <x v="3"/>
    <n v="76"/>
    <x v="1"/>
  </r>
  <r>
    <x v="49"/>
    <x v="3"/>
    <n v="75"/>
    <x v="2"/>
  </r>
  <r>
    <x v="49"/>
    <x v="3"/>
    <n v="75"/>
    <x v="3"/>
  </r>
  <r>
    <x v="50"/>
    <x v="3"/>
    <n v="54"/>
    <x v="0"/>
  </r>
  <r>
    <x v="50"/>
    <x v="3"/>
    <n v="52"/>
    <x v="1"/>
  </r>
  <r>
    <x v="50"/>
    <x v="3"/>
    <n v="50"/>
    <x v="2"/>
  </r>
  <r>
    <x v="50"/>
    <x v="3"/>
    <n v="49"/>
    <x v="3"/>
  </r>
  <r>
    <x v="51"/>
    <x v="4"/>
    <n v="76"/>
    <x v="0"/>
  </r>
  <r>
    <x v="51"/>
    <x v="4"/>
    <n v="74"/>
    <x v="1"/>
  </r>
  <r>
    <x v="51"/>
    <x v="4"/>
    <n v="79"/>
    <x v="2"/>
  </r>
  <r>
    <x v="51"/>
    <x v="4"/>
    <n v="78"/>
    <x v="3"/>
  </r>
  <r>
    <x v="52"/>
    <x v="6"/>
    <n v="68"/>
    <x v="0"/>
  </r>
  <r>
    <x v="52"/>
    <x v="6"/>
    <n v="71"/>
    <x v="1"/>
  </r>
  <r>
    <x v="52"/>
    <x v="6"/>
    <n v="68"/>
    <x v="2"/>
  </r>
  <r>
    <x v="52"/>
    <x v="6"/>
    <n v="67"/>
    <x v="3"/>
  </r>
  <r>
    <x v="53"/>
    <x v="6"/>
    <n v="72"/>
    <x v="0"/>
  </r>
  <r>
    <x v="53"/>
    <x v="6"/>
    <n v="70"/>
    <x v="1"/>
  </r>
  <r>
    <x v="53"/>
    <x v="6"/>
    <n v="74"/>
    <x v="2"/>
  </r>
  <r>
    <x v="53"/>
    <x v="6"/>
    <n v="73"/>
    <x v="3"/>
  </r>
  <r>
    <x v="54"/>
    <x v="2"/>
    <n v="71"/>
    <x v="0"/>
  </r>
  <r>
    <x v="54"/>
    <x v="2"/>
    <n v="76"/>
    <x v="1"/>
  </r>
  <r>
    <x v="54"/>
    <x v="2"/>
    <n v="74"/>
    <x v="2"/>
  </r>
  <r>
    <x v="54"/>
    <x v="2"/>
    <n v="76"/>
    <x v="3"/>
  </r>
  <r>
    <x v="55"/>
    <x v="6"/>
    <n v="75"/>
    <x v="0"/>
  </r>
  <r>
    <x v="55"/>
    <x v="6"/>
    <n v="75"/>
    <x v="1"/>
  </r>
  <r>
    <x v="55"/>
    <x v="6"/>
    <n v="74"/>
    <x v="2"/>
  </r>
  <r>
    <x v="55"/>
    <x v="6"/>
    <n v="73"/>
    <x v="3"/>
  </r>
  <r>
    <x v="56"/>
    <x v="6"/>
    <n v="68"/>
    <x v="0"/>
  </r>
  <r>
    <x v="56"/>
    <x v="6"/>
    <n v="67"/>
    <x v="1"/>
  </r>
  <r>
    <x v="56"/>
    <x v="6"/>
    <n v="65"/>
    <x v="2"/>
  </r>
  <r>
    <x v="56"/>
    <x v="6"/>
    <n v="64"/>
    <x v="3"/>
  </r>
  <r>
    <x v="57"/>
    <x v="1"/>
    <n v="62"/>
    <x v="0"/>
  </r>
  <r>
    <x v="57"/>
    <x v="1"/>
    <n v="61"/>
    <x v="1"/>
  </r>
  <r>
    <x v="57"/>
    <x v="1"/>
    <n v="65"/>
    <x v="2"/>
  </r>
  <r>
    <x v="57"/>
    <x v="1"/>
    <n v="64"/>
    <x v="3"/>
  </r>
  <r>
    <x v="58"/>
    <x v="1"/>
    <n v="45"/>
    <x v="0"/>
  </r>
  <r>
    <x v="58"/>
    <x v="1"/>
    <n v="52"/>
    <x v="1"/>
  </r>
  <r>
    <x v="58"/>
    <x v="1"/>
    <n v="54"/>
    <x v="2"/>
  </r>
  <r>
    <x v="58"/>
    <x v="1"/>
    <n v="53"/>
    <x v="3"/>
  </r>
  <r>
    <x v="59"/>
    <x v="0"/>
    <n v="71"/>
    <x v="0"/>
  </r>
  <r>
    <x v="59"/>
    <x v="0"/>
    <n v="72"/>
    <x v="1"/>
  </r>
  <r>
    <x v="59"/>
    <x v="0"/>
    <n v="71"/>
    <x v="2"/>
  </r>
  <r>
    <x v="59"/>
    <x v="0"/>
    <n v="70"/>
    <x v="3"/>
  </r>
  <r>
    <x v="60"/>
    <x v="4"/>
    <n v="65"/>
    <x v="0"/>
  </r>
  <r>
    <x v="60"/>
    <x v="4"/>
    <n v="63"/>
    <x v="1"/>
  </r>
  <r>
    <x v="60"/>
    <x v="4"/>
    <n v="62"/>
    <x v="2"/>
  </r>
  <r>
    <x v="60"/>
    <x v="4"/>
    <n v="60"/>
    <x v="3"/>
  </r>
  <r>
    <x v="61"/>
    <x v="0"/>
    <n v="57"/>
    <x v="0"/>
  </r>
  <r>
    <x v="61"/>
    <x v="0"/>
    <n v="56"/>
    <x v="1"/>
  </r>
  <r>
    <x v="61"/>
    <x v="0"/>
    <n v="60"/>
    <x v="2"/>
  </r>
  <r>
    <x v="61"/>
    <x v="0"/>
    <n v="59"/>
    <x v="3"/>
  </r>
  <r>
    <x v="62"/>
    <x v="2"/>
    <n v="71"/>
    <x v="0"/>
  </r>
  <r>
    <x v="62"/>
    <x v="2"/>
    <n v="70"/>
    <x v="1"/>
  </r>
  <r>
    <x v="62"/>
    <x v="2"/>
    <n v="68"/>
    <x v="2"/>
  </r>
  <r>
    <x v="62"/>
    <x v="2"/>
    <n v="67"/>
    <x v="3"/>
  </r>
  <r>
    <x v="63"/>
    <x v="2"/>
    <n v="84"/>
    <x v="0"/>
  </r>
  <r>
    <x v="63"/>
    <x v="2"/>
    <n v="82"/>
    <x v="1"/>
  </r>
  <r>
    <x v="63"/>
    <x v="2"/>
    <n v="80"/>
    <x v="2"/>
  </r>
  <r>
    <x v="63"/>
    <x v="2"/>
    <n v="80"/>
    <x v="3"/>
  </r>
  <r>
    <x v="64"/>
    <x v="3"/>
    <n v="49"/>
    <x v="0"/>
  </r>
  <r>
    <x v="64"/>
    <x v="3"/>
    <n v="50"/>
    <x v="1"/>
  </r>
  <r>
    <x v="64"/>
    <x v="3"/>
    <n v="50"/>
    <x v="2"/>
  </r>
  <r>
    <x v="64"/>
    <x v="3"/>
    <n v="49"/>
    <x v="3"/>
  </r>
  <r>
    <x v="65"/>
    <x v="6"/>
    <n v="83"/>
    <x v="0"/>
  </r>
  <r>
    <x v="65"/>
    <x v="6"/>
    <n v="84"/>
    <x v="1"/>
  </r>
  <r>
    <x v="65"/>
    <x v="6"/>
    <n v="83"/>
    <x v="2"/>
  </r>
  <r>
    <x v="65"/>
    <x v="6"/>
    <n v="82"/>
    <x v="3"/>
  </r>
  <r>
    <x v="66"/>
    <x v="7"/>
    <n v="43"/>
    <x v="0"/>
  </r>
  <r>
    <x v="66"/>
    <x v="7"/>
    <n v="55"/>
    <x v="1"/>
  </r>
  <r>
    <x v="66"/>
    <x v="7"/>
    <n v="52"/>
    <x v="2"/>
  </r>
  <r>
    <x v="66"/>
    <x v="7"/>
    <n v="51"/>
    <x v="3"/>
  </r>
  <r>
    <x v="67"/>
    <x v="0"/>
    <n v="64"/>
    <x v="0"/>
  </r>
  <r>
    <x v="67"/>
    <x v="0"/>
    <n v="62"/>
    <x v="1"/>
  </r>
  <r>
    <x v="67"/>
    <x v="0"/>
    <n v="60"/>
    <x v="2"/>
  </r>
  <r>
    <x v="67"/>
    <x v="0"/>
    <n v="59"/>
    <x v="3"/>
  </r>
  <r>
    <x v="68"/>
    <x v="2"/>
    <n v="55"/>
    <x v="0"/>
  </r>
  <r>
    <x v="68"/>
    <x v="2"/>
    <n v="56"/>
    <x v="1"/>
  </r>
  <r>
    <x v="68"/>
    <x v="2"/>
    <n v="53"/>
    <x v="2"/>
  </r>
  <r>
    <x v="68"/>
    <x v="2"/>
    <n v="52"/>
    <x v="3"/>
  </r>
  <r>
    <x v="69"/>
    <x v="2"/>
    <n v="59"/>
    <x v="0"/>
  </r>
  <r>
    <x v="69"/>
    <x v="2"/>
    <n v="59"/>
    <x v="1"/>
  </r>
  <r>
    <x v="69"/>
    <x v="2"/>
    <n v="60"/>
    <x v="2"/>
  </r>
  <r>
    <x v="69"/>
    <x v="2"/>
    <n v="59"/>
    <x v="3"/>
  </r>
  <r>
    <x v="70"/>
    <x v="2"/>
    <n v="73"/>
    <x v="0"/>
  </r>
  <r>
    <x v="70"/>
    <x v="2"/>
    <n v="71"/>
    <x v="1"/>
  </r>
  <r>
    <x v="70"/>
    <x v="2"/>
    <n v="71"/>
    <x v="2"/>
  </r>
  <r>
    <x v="70"/>
    <x v="2"/>
    <n v="69"/>
    <x v="3"/>
  </r>
  <r>
    <x v="71"/>
    <x v="0"/>
    <n v="77"/>
    <x v="0"/>
  </r>
  <r>
    <x v="71"/>
    <x v="0"/>
    <n v="76"/>
    <x v="1"/>
  </r>
  <r>
    <x v="71"/>
    <x v="0"/>
    <n v="76"/>
    <x v="2"/>
  </r>
  <r>
    <x v="71"/>
    <x v="0"/>
    <n v="75"/>
    <x v="3"/>
  </r>
  <r>
    <x v="72"/>
    <x v="3"/>
    <n v="77"/>
    <x v="0"/>
  </r>
  <r>
    <x v="72"/>
    <x v="3"/>
    <n v="76"/>
    <x v="1"/>
  </r>
  <r>
    <x v="72"/>
    <x v="3"/>
    <n v="75"/>
    <x v="2"/>
  </r>
  <r>
    <x v="72"/>
    <x v="3"/>
    <n v="74"/>
    <x v="3"/>
  </r>
  <r>
    <x v="73"/>
    <x v="3"/>
    <n v="69"/>
    <x v="0"/>
  </r>
  <r>
    <x v="73"/>
    <x v="3"/>
    <n v="68"/>
    <x v="1"/>
  </r>
  <r>
    <x v="73"/>
    <x v="3"/>
    <n v="68"/>
    <x v="2"/>
  </r>
  <r>
    <x v="73"/>
    <x v="3"/>
    <n v="67"/>
    <x v="3"/>
  </r>
  <r>
    <x v="74"/>
    <x v="2"/>
    <n v="57"/>
    <x v="0"/>
  </r>
  <r>
    <x v="74"/>
    <x v="2"/>
    <n v="61"/>
    <x v="1"/>
  </r>
  <r>
    <x v="74"/>
    <x v="2"/>
    <n v="60"/>
    <x v="2"/>
  </r>
  <r>
    <x v="74"/>
    <x v="2"/>
    <n v="59"/>
    <x v="3"/>
  </r>
  <r>
    <x v="75"/>
    <x v="5"/>
    <n v="61"/>
    <x v="0"/>
  </r>
  <r>
    <x v="75"/>
    <x v="5"/>
    <n v="59"/>
    <x v="1"/>
  </r>
  <r>
    <x v="75"/>
    <x v="5"/>
    <n v="59"/>
    <x v="2"/>
  </r>
  <r>
    <x v="75"/>
    <x v="5"/>
    <n v="57"/>
    <x v="3"/>
  </r>
  <r>
    <x v="76"/>
    <x v="7"/>
    <n v="66"/>
    <x v="0"/>
  </r>
  <r>
    <x v="76"/>
    <x v="7"/>
    <n v="66"/>
    <x v="1"/>
  </r>
  <r>
    <x v="76"/>
    <x v="7"/>
    <n v="64"/>
    <x v="2"/>
  </r>
  <r>
    <x v="76"/>
    <x v="7"/>
    <n v="63"/>
    <x v="3"/>
  </r>
  <r>
    <x v="77"/>
    <x v="4"/>
    <n v="77"/>
    <x v="0"/>
  </r>
  <r>
    <x v="77"/>
    <x v="4"/>
    <n v="75"/>
    <x v="1"/>
  </r>
  <r>
    <x v="77"/>
    <x v="4"/>
    <n v="73"/>
    <x v="2"/>
  </r>
  <r>
    <x v="77"/>
    <x v="4"/>
    <n v="72"/>
    <x v="3"/>
  </r>
  <r>
    <x v="78"/>
    <x v="4"/>
    <n v="70"/>
    <x v="0"/>
  </r>
  <r>
    <x v="78"/>
    <x v="4"/>
    <n v="72"/>
    <x v="1"/>
  </r>
  <r>
    <x v="78"/>
    <x v="4"/>
    <n v="74"/>
    <x v="2"/>
  </r>
  <r>
    <x v="78"/>
    <x v="4"/>
    <n v="73"/>
    <x v="3"/>
  </r>
  <r>
    <x v="79"/>
    <x v="3"/>
    <n v="61"/>
    <x v="0"/>
  </r>
  <r>
    <x v="79"/>
    <x v="3"/>
    <n v="63"/>
    <x v="1"/>
  </r>
  <r>
    <x v="79"/>
    <x v="3"/>
    <n v="63"/>
    <x v="2"/>
  </r>
  <r>
    <x v="79"/>
    <x v="3"/>
    <n v="65"/>
    <x v="3"/>
  </r>
  <r>
    <x v="80"/>
    <x v="3"/>
    <n v="57"/>
    <x v="0"/>
  </r>
  <r>
    <x v="80"/>
    <x v="3"/>
    <n v="57"/>
    <x v="1"/>
  </r>
  <r>
    <x v="80"/>
    <x v="3"/>
    <n v="56"/>
    <x v="2"/>
  </r>
  <r>
    <x v="80"/>
    <x v="3"/>
    <n v="55"/>
    <x v="3"/>
  </r>
  <r>
    <x v="81"/>
    <x v="8"/>
    <n v="74"/>
    <x v="0"/>
  </r>
  <r>
    <x v="81"/>
    <x v="8"/>
    <n v="75"/>
    <x v="1"/>
  </r>
  <r>
    <x v="81"/>
    <x v="8"/>
    <n v="75"/>
    <x v="2"/>
  </r>
  <r>
    <x v="81"/>
    <x v="8"/>
    <n v="75"/>
    <x v="3"/>
  </r>
  <r>
    <x v="82"/>
    <x v="6"/>
    <n v="71"/>
    <x v="0"/>
  </r>
  <r>
    <x v="82"/>
    <x v="6"/>
    <n v="73"/>
    <x v="1"/>
  </r>
  <r>
    <x v="82"/>
    <x v="6"/>
    <n v="74"/>
    <x v="2"/>
  </r>
  <r>
    <x v="82"/>
    <x v="6"/>
    <n v="71"/>
    <x v="3"/>
  </r>
  <r>
    <x v="83"/>
    <x v="0"/>
    <n v="55"/>
    <x v="0"/>
  </r>
  <r>
    <x v="83"/>
    <x v="0"/>
    <n v="58"/>
    <x v="1"/>
  </r>
  <r>
    <x v="83"/>
    <x v="0"/>
    <n v="57"/>
    <x v="2"/>
  </r>
  <r>
    <x v="83"/>
    <x v="0"/>
    <n v="56"/>
    <x v="3"/>
  </r>
  <r>
    <x v="84"/>
    <x v="3"/>
    <n v="70"/>
    <x v="0"/>
  </r>
  <r>
    <x v="84"/>
    <x v="3"/>
    <n v="73"/>
    <x v="1"/>
  </r>
  <r>
    <x v="84"/>
    <x v="3"/>
    <n v="72"/>
    <x v="2"/>
  </r>
  <r>
    <x v="84"/>
    <x v="3"/>
    <n v="71"/>
    <x v="3"/>
  </r>
  <r>
    <x v="85"/>
    <x v="3"/>
    <n v="76"/>
    <x v="0"/>
  </r>
  <r>
    <x v="85"/>
    <x v="3"/>
    <n v="74"/>
    <x v="1"/>
  </r>
  <r>
    <x v="85"/>
    <x v="3"/>
    <n v="73"/>
    <x v="2"/>
  </r>
  <r>
    <x v="85"/>
    <x v="3"/>
    <n v="72"/>
    <x v="3"/>
  </r>
  <r>
    <x v="86"/>
    <x v="2"/>
    <n v="67"/>
    <x v="0"/>
  </r>
  <r>
    <x v="86"/>
    <x v="2"/>
    <n v="65"/>
    <x v="1"/>
  </r>
  <r>
    <x v="86"/>
    <x v="2"/>
    <n v="64"/>
    <x v="2"/>
  </r>
  <r>
    <x v="86"/>
    <x v="2"/>
    <n v="63"/>
    <x v="3"/>
  </r>
  <r>
    <x v="87"/>
    <x v="4"/>
    <n v="62"/>
    <x v="0"/>
  </r>
  <r>
    <x v="87"/>
    <x v="4"/>
    <n v="61"/>
    <x v="1"/>
  </r>
  <r>
    <x v="87"/>
    <x v="4"/>
    <n v="60"/>
    <x v="2"/>
  </r>
  <r>
    <x v="87"/>
    <x v="4"/>
    <n v="59"/>
    <x v="3"/>
  </r>
  <r>
    <x v="88"/>
    <x v="2"/>
    <n v="78"/>
    <x v="0"/>
  </r>
  <r>
    <x v="88"/>
    <x v="2"/>
    <n v="77"/>
    <x v="1"/>
  </r>
  <r>
    <x v="88"/>
    <x v="2"/>
    <n v="76"/>
    <x v="2"/>
  </r>
  <r>
    <x v="88"/>
    <x v="2"/>
    <n v="75"/>
    <x v="3"/>
  </r>
  <r>
    <x v="89"/>
    <x v="6"/>
    <n v="73"/>
    <x v="0"/>
  </r>
  <r>
    <x v="89"/>
    <x v="6"/>
    <n v="75"/>
    <x v="1"/>
  </r>
  <r>
    <x v="89"/>
    <x v="6"/>
    <n v="74"/>
    <x v="2"/>
  </r>
  <r>
    <x v="89"/>
    <x v="6"/>
    <n v="73"/>
    <x v="3"/>
  </r>
  <r>
    <x v="90"/>
    <x v="6"/>
    <n v="66"/>
    <x v="0"/>
  </r>
  <r>
    <x v="90"/>
    <x v="6"/>
    <n v="65"/>
    <x v="1"/>
  </r>
  <r>
    <x v="90"/>
    <x v="6"/>
    <n v="67"/>
    <x v="2"/>
  </r>
  <r>
    <x v="90"/>
    <x v="6"/>
    <n v="71"/>
    <x v="3"/>
  </r>
  <r>
    <x v="91"/>
    <x v="7"/>
    <n v="61"/>
    <x v="0"/>
  </r>
  <r>
    <x v="91"/>
    <x v="7"/>
    <n v="60"/>
    <x v="1"/>
  </r>
  <r>
    <x v="91"/>
    <x v="7"/>
    <n v="61"/>
    <x v="2"/>
  </r>
  <r>
    <x v="91"/>
    <x v="7"/>
    <n v="62"/>
    <x v="3"/>
  </r>
  <r>
    <x v="92"/>
    <x v="6"/>
    <n v="69"/>
    <x v="0"/>
  </r>
  <r>
    <x v="92"/>
    <x v="6"/>
    <n v="67"/>
    <x v="1"/>
  </r>
  <r>
    <x v="92"/>
    <x v="6"/>
    <n v="66"/>
    <x v="2"/>
  </r>
  <r>
    <x v="92"/>
    <x v="6"/>
    <n v="65"/>
    <x v="3"/>
  </r>
  <r>
    <x v="93"/>
    <x v="4"/>
    <n v="59"/>
    <x v="0"/>
  </r>
  <r>
    <x v="93"/>
    <x v="4"/>
    <n v="57"/>
    <x v="1"/>
  </r>
  <r>
    <x v="93"/>
    <x v="4"/>
    <n v="55"/>
    <x v="2"/>
  </r>
  <r>
    <x v="93"/>
    <x v="4"/>
    <n v="53"/>
    <x v="3"/>
  </r>
  <r>
    <x v="94"/>
    <x v="7"/>
    <n v="55"/>
    <x v="0"/>
  </r>
  <r>
    <x v="94"/>
    <x v="7"/>
    <n v="52"/>
    <x v="1"/>
  </r>
  <r>
    <x v="94"/>
    <x v="7"/>
    <n v="55"/>
    <x v="2"/>
  </r>
  <r>
    <x v="94"/>
    <x v="7"/>
    <n v="54"/>
    <x v="3"/>
  </r>
  <r>
    <x v="95"/>
    <x v="5"/>
    <n v="81"/>
    <x v="0"/>
  </r>
  <r>
    <x v="95"/>
    <x v="5"/>
    <n v="82"/>
    <x v="1"/>
  </r>
  <r>
    <x v="95"/>
    <x v="5"/>
    <n v="80"/>
    <x v="2"/>
  </r>
  <r>
    <x v="95"/>
    <x v="5"/>
    <n v="79"/>
    <x v="3"/>
  </r>
  <r>
    <x v="96"/>
    <x v="7"/>
    <n v="68"/>
    <x v="0"/>
  </r>
  <r>
    <x v="96"/>
    <x v="7"/>
    <n v="62"/>
    <x v="1"/>
  </r>
  <r>
    <x v="96"/>
    <x v="7"/>
    <n v="60"/>
    <x v="2"/>
  </r>
  <r>
    <x v="96"/>
    <x v="7"/>
    <n v="59"/>
    <x v="3"/>
  </r>
  <r>
    <x v="97"/>
    <x v="7"/>
    <n v="53"/>
    <x v="0"/>
  </r>
  <r>
    <x v="97"/>
    <x v="7"/>
    <n v="55"/>
    <x v="1"/>
  </r>
  <r>
    <x v="97"/>
    <x v="7"/>
    <n v="54"/>
    <x v="2"/>
  </r>
  <r>
    <x v="97"/>
    <x v="7"/>
    <n v="52"/>
    <x v="3"/>
  </r>
  <r>
    <x v="98"/>
    <x v="3"/>
    <n v="76"/>
    <x v="0"/>
  </r>
  <r>
    <x v="98"/>
    <x v="3"/>
    <n v="77"/>
    <x v="1"/>
  </r>
  <r>
    <x v="98"/>
    <x v="3"/>
    <n v="76"/>
    <x v="2"/>
  </r>
  <r>
    <x v="98"/>
    <x v="3"/>
    <n v="75"/>
    <x v="3"/>
  </r>
  <r>
    <x v="99"/>
    <x v="5"/>
    <n v="52"/>
    <x v="0"/>
  </r>
  <r>
    <x v="99"/>
    <x v="5"/>
    <n v="55"/>
    <x v="1"/>
  </r>
  <r>
    <x v="99"/>
    <x v="5"/>
    <n v="52"/>
    <x v="2"/>
  </r>
  <r>
    <x v="99"/>
    <x v="5"/>
    <n v="50"/>
    <x v="3"/>
  </r>
  <r>
    <x v="100"/>
    <x v="6"/>
    <n v="77"/>
    <x v="0"/>
  </r>
  <r>
    <x v="100"/>
    <x v="6"/>
    <n v="74"/>
    <x v="1"/>
  </r>
  <r>
    <x v="100"/>
    <x v="6"/>
    <n v="74"/>
    <x v="2"/>
  </r>
  <r>
    <x v="100"/>
    <x v="6"/>
    <n v="74"/>
    <x v="3"/>
  </r>
  <r>
    <x v="101"/>
    <x v="4"/>
    <n v="71"/>
    <x v="0"/>
  </r>
  <r>
    <x v="101"/>
    <x v="4"/>
    <n v="73"/>
    <x v="1"/>
  </r>
  <r>
    <x v="101"/>
    <x v="4"/>
    <n v="75"/>
    <x v="2"/>
  </r>
  <r>
    <x v="101"/>
    <x v="4"/>
    <n v="74"/>
    <x v="3"/>
  </r>
  <r>
    <x v="102"/>
    <x v="0"/>
    <n v="69"/>
    <x v="0"/>
  </r>
  <r>
    <x v="102"/>
    <x v="0"/>
    <n v="67"/>
    <x v="1"/>
  </r>
  <r>
    <x v="102"/>
    <x v="0"/>
    <n v="65"/>
    <x v="2"/>
  </r>
  <r>
    <x v="102"/>
    <x v="0"/>
    <n v="64"/>
    <x v="3"/>
  </r>
  <r>
    <x v="103"/>
    <x v="5"/>
    <n v="74"/>
    <x v="0"/>
  </r>
  <r>
    <x v="103"/>
    <x v="5"/>
    <n v="72"/>
    <x v="1"/>
  </r>
  <r>
    <x v="103"/>
    <x v="5"/>
    <n v="74"/>
    <x v="2"/>
  </r>
  <r>
    <x v="103"/>
    <x v="5"/>
    <n v="72"/>
    <x v="3"/>
  </r>
  <r>
    <x v="104"/>
    <x v="5"/>
    <n v="46"/>
    <x v="0"/>
  </r>
  <r>
    <x v="104"/>
    <x v="5"/>
    <n v="43"/>
    <x v="1"/>
  </r>
  <r>
    <x v="104"/>
    <x v="5"/>
    <n v="44"/>
    <x v="2"/>
  </r>
  <r>
    <x v="104"/>
    <x v="5"/>
    <n v="42"/>
    <x v="3"/>
  </r>
  <r>
    <x v="105"/>
    <x v="2"/>
    <n v="70"/>
    <x v="0"/>
  </r>
  <r>
    <x v="105"/>
    <x v="2"/>
    <n v="69"/>
    <x v="1"/>
  </r>
  <r>
    <x v="105"/>
    <x v="2"/>
    <n v="71"/>
    <x v="2"/>
  </r>
  <r>
    <x v="105"/>
    <x v="2"/>
    <n v="70"/>
    <x v="3"/>
  </r>
  <r>
    <x v="106"/>
    <x v="7"/>
    <n v="73"/>
    <x v="0"/>
  </r>
  <r>
    <x v="106"/>
    <x v="7"/>
    <n v="70"/>
    <x v="1"/>
  </r>
  <r>
    <x v="106"/>
    <x v="7"/>
    <n v="68"/>
    <x v="2"/>
  </r>
  <r>
    <x v="106"/>
    <x v="7"/>
    <n v="67"/>
    <x v="3"/>
  </r>
  <r>
    <x v="107"/>
    <x v="3"/>
    <n v="74"/>
    <x v="0"/>
  </r>
  <r>
    <x v="107"/>
    <x v="3"/>
    <n v="75"/>
    <x v="1"/>
  </r>
  <r>
    <x v="107"/>
    <x v="3"/>
    <n v="73"/>
    <x v="2"/>
  </r>
  <r>
    <x v="107"/>
    <x v="3"/>
    <n v="72"/>
    <x v="3"/>
  </r>
  <r>
    <x v="108"/>
    <x v="1"/>
    <n v="79"/>
    <x v="0"/>
  </r>
  <r>
    <x v="108"/>
    <x v="1"/>
    <n v="79"/>
    <x v="1"/>
  </r>
  <r>
    <x v="108"/>
    <x v="1"/>
    <n v="80"/>
    <x v="2"/>
  </r>
  <r>
    <x v="108"/>
    <x v="1"/>
    <n v="7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71513-6B6E-40BD-88A7-380BF024A6A5}" name="PivotTable1" cacheId="0" applyNumberFormats="0" applyBorderFormats="0" applyFontFormats="0" applyPatternFormats="0" applyAlignmentFormats="0" applyWidthHeightFormats="1" dataCaption="Values" grandTotalCaption="Average over 4 years" updatedVersion="8" minRefreshableVersion="3" useAutoFormatting="1" itemPrintTitles="1" createdVersion="8" indent="0" outline="1" outlineData="1" multipleFieldFilters="0">
  <location ref="A3:F114" firstHeaderRow="1" firstDataRow="2" firstDataCol="1"/>
  <pivotFields count="7">
    <pivotField axis="axisRow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showAll="0">
      <items count="10">
        <item x="0"/>
        <item x="2"/>
        <item x="4"/>
        <item x="1"/>
        <item x="8"/>
        <item x="3"/>
        <item x="6"/>
        <item x="5"/>
        <item x="7"/>
        <item t="default"/>
      </items>
    </pivotField>
    <pivotField dataField="1" showAll="0"/>
    <pivotField axis="axisCol" numFmtId="14" showAll="0">
      <items count="5">
        <item x="0"/>
        <item x="1"/>
        <item x="2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0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CI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3B80-9EFC-4660-A51D-C2C23C714CE8}">
  <dimension ref="A1:D437"/>
  <sheetViews>
    <sheetView zoomScale="120" zoomScaleNormal="120" workbookViewId="0">
      <pane xSplit="1" ySplit="1" topLeftCell="B335" activePane="bottomRight" state="frozen"/>
      <selection pane="topRight" activeCell="B1" sqref="B1"/>
      <selection pane="bottomLeft" activeCell="A2" sqref="A2"/>
      <selection pane="bottomRight" activeCell="H389" sqref="H389"/>
    </sheetView>
  </sheetViews>
  <sheetFormatPr defaultRowHeight="15" x14ac:dyDescent="0.25"/>
  <cols>
    <col min="1" max="1" width="19.28515625" customWidth="1"/>
    <col min="2" max="2" width="24.140625" customWidth="1"/>
    <col min="4" max="4" width="17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t="s">
        <v>4</v>
      </c>
      <c r="B2" t="s">
        <v>5</v>
      </c>
      <c r="C2" s="1">
        <v>67</v>
      </c>
      <c r="D2" s="3">
        <v>44926</v>
      </c>
    </row>
    <row r="3" spans="1:4" x14ac:dyDescent="0.25">
      <c r="A3" t="s">
        <v>4</v>
      </c>
      <c r="B3" t="s">
        <v>5</v>
      </c>
      <c r="C3" s="1">
        <v>65</v>
      </c>
      <c r="D3" s="3">
        <v>45291</v>
      </c>
    </row>
    <row r="4" spans="1:4" x14ac:dyDescent="0.25">
      <c r="A4" t="s">
        <v>4</v>
      </c>
      <c r="B4" t="s">
        <v>5</v>
      </c>
      <c r="C4" s="1">
        <v>64</v>
      </c>
      <c r="D4" s="3">
        <v>45657</v>
      </c>
    </row>
    <row r="5" spans="1:4" x14ac:dyDescent="0.25">
      <c r="A5" t="s">
        <v>4</v>
      </c>
      <c r="B5" t="s">
        <v>5</v>
      </c>
      <c r="C5" s="1">
        <v>63</v>
      </c>
      <c r="D5" s="2">
        <v>45853</v>
      </c>
    </row>
    <row r="6" spans="1:4" x14ac:dyDescent="0.25">
      <c r="A6" t="s">
        <v>6</v>
      </c>
      <c r="B6" t="s">
        <v>5</v>
      </c>
      <c r="C6" s="1">
        <v>74</v>
      </c>
      <c r="D6" s="3">
        <v>44926</v>
      </c>
    </row>
    <row r="7" spans="1:4" x14ac:dyDescent="0.25">
      <c r="A7" t="s">
        <v>6</v>
      </c>
      <c r="B7" t="s">
        <v>5</v>
      </c>
      <c r="C7" s="1">
        <v>72</v>
      </c>
      <c r="D7" s="3">
        <v>45291</v>
      </c>
    </row>
    <row r="8" spans="1:4" x14ac:dyDescent="0.25">
      <c r="A8" t="s">
        <v>6</v>
      </c>
      <c r="B8" t="s">
        <v>5</v>
      </c>
      <c r="C8" s="1">
        <v>74</v>
      </c>
      <c r="D8" s="3">
        <v>45657</v>
      </c>
    </row>
    <row r="9" spans="1:4" x14ac:dyDescent="0.25">
      <c r="A9" t="s">
        <v>6</v>
      </c>
      <c r="B9" t="s">
        <v>5</v>
      </c>
      <c r="C9" s="1">
        <v>73</v>
      </c>
      <c r="D9" s="2">
        <v>45853</v>
      </c>
    </row>
    <row r="10" spans="1:4" x14ac:dyDescent="0.25">
      <c r="A10" t="s">
        <v>7</v>
      </c>
      <c r="B10" t="s">
        <v>5</v>
      </c>
      <c r="C10" s="1">
        <v>59</v>
      </c>
      <c r="D10" s="3">
        <v>44926</v>
      </c>
    </row>
    <row r="11" spans="1:4" x14ac:dyDescent="0.25">
      <c r="A11" t="s">
        <v>7</v>
      </c>
      <c r="B11" t="s">
        <v>5</v>
      </c>
      <c r="C11" s="1">
        <v>58</v>
      </c>
      <c r="D11" s="3">
        <v>45291</v>
      </c>
    </row>
    <row r="12" spans="1:4" x14ac:dyDescent="0.25">
      <c r="A12" t="s">
        <v>7</v>
      </c>
      <c r="B12" t="s">
        <v>5</v>
      </c>
      <c r="C12" s="1">
        <v>59</v>
      </c>
      <c r="D12" s="3">
        <v>45657</v>
      </c>
    </row>
    <row r="13" spans="1:4" x14ac:dyDescent="0.25">
      <c r="A13" t="s">
        <v>7</v>
      </c>
      <c r="B13" t="s">
        <v>5</v>
      </c>
      <c r="C13" s="1">
        <v>58</v>
      </c>
      <c r="D13" s="2">
        <v>45853</v>
      </c>
    </row>
    <row r="14" spans="1:4" x14ac:dyDescent="0.25">
      <c r="A14" t="s">
        <v>54</v>
      </c>
      <c r="B14" t="s">
        <v>55</v>
      </c>
      <c r="C14" s="1">
        <v>60</v>
      </c>
      <c r="D14" s="3">
        <v>44926</v>
      </c>
    </row>
    <row r="15" spans="1:4" x14ac:dyDescent="0.25">
      <c r="A15" t="s">
        <v>54</v>
      </c>
      <c r="B15" t="s">
        <v>55</v>
      </c>
      <c r="C15" s="1">
        <v>59</v>
      </c>
      <c r="D15" s="3">
        <v>45291</v>
      </c>
    </row>
    <row r="16" spans="1:4" x14ac:dyDescent="0.25">
      <c r="A16" t="s">
        <v>54</v>
      </c>
      <c r="B16" t="s">
        <v>55</v>
      </c>
      <c r="C16" s="1">
        <v>56</v>
      </c>
      <c r="D16" s="3">
        <v>45657</v>
      </c>
    </row>
    <row r="17" spans="1:4" x14ac:dyDescent="0.25">
      <c r="A17" t="s">
        <v>54</v>
      </c>
      <c r="B17" t="s">
        <v>55</v>
      </c>
      <c r="C17" s="1">
        <v>55</v>
      </c>
      <c r="D17" s="2">
        <v>45853</v>
      </c>
    </row>
    <row r="18" spans="1:4" x14ac:dyDescent="0.25">
      <c r="A18" t="s">
        <v>20</v>
      </c>
      <c r="B18" t="s">
        <v>21</v>
      </c>
      <c r="C18" s="1">
        <v>65</v>
      </c>
      <c r="D18" s="3">
        <v>44926</v>
      </c>
    </row>
    <row r="19" spans="1:4" x14ac:dyDescent="0.25">
      <c r="A19" t="s">
        <v>20</v>
      </c>
      <c r="B19" t="s">
        <v>21</v>
      </c>
      <c r="C19" s="1">
        <v>63</v>
      </c>
      <c r="D19" s="3">
        <v>45291</v>
      </c>
    </row>
    <row r="20" spans="1:4" x14ac:dyDescent="0.25">
      <c r="A20" t="s">
        <v>20</v>
      </c>
      <c r="B20" t="s">
        <v>21</v>
      </c>
      <c r="C20" s="1">
        <v>61</v>
      </c>
      <c r="D20" s="3">
        <v>45657</v>
      </c>
    </row>
    <row r="21" spans="1:4" x14ac:dyDescent="0.25">
      <c r="A21" t="s">
        <v>20</v>
      </c>
      <c r="B21" t="s">
        <v>21</v>
      </c>
      <c r="C21" s="1">
        <v>60</v>
      </c>
      <c r="D21" s="2">
        <v>45853</v>
      </c>
    </row>
    <row r="22" spans="1:4" x14ac:dyDescent="0.25">
      <c r="A22" t="s">
        <v>63</v>
      </c>
      <c r="B22" t="s">
        <v>64</v>
      </c>
      <c r="C22" s="1">
        <v>75</v>
      </c>
      <c r="D22" s="3">
        <v>44926</v>
      </c>
    </row>
    <row r="23" spans="1:4" x14ac:dyDescent="0.25">
      <c r="A23" t="s">
        <v>63</v>
      </c>
      <c r="B23" t="s">
        <v>64</v>
      </c>
      <c r="C23" s="1">
        <v>73</v>
      </c>
      <c r="D23" s="3">
        <v>45291</v>
      </c>
    </row>
    <row r="24" spans="1:4" x14ac:dyDescent="0.25">
      <c r="A24" t="s">
        <v>63</v>
      </c>
      <c r="B24" t="s">
        <v>64</v>
      </c>
      <c r="C24" s="1">
        <v>79</v>
      </c>
      <c r="D24" s="3">
        <v>45657</v>
      </c>
    </row>
    <row r="25" spans="1:4" x14ac:dyDescent="0.25">
      <c r="A25" t="s">
        <v>63</v>
      </c>
      <c r="B25" t="s">
        <v>64</v>
      </c>
      <c r="C25" s="1">
        <v>78</v>
      </c>
      <c r="D25" s="2">
        <v>45853</v>
      </c>
    </row>
    <row r="26" spans="1:4" x14ac:dyDescent="0.25">
      <c r="A26" t="s">
        <v>65</v>
      </c>
      <c r="B26" t="s">
        <v>64</v>
      </c>
      <c r="C26" s="1">
        <v>65</v>
      </c>
      <c r="D26" s="3">
        <v>44926</v>
      </c>
    </row>
    <row r="27" spans="1:4" x14ac:dyDescent="0.25">
      <c r="A27" t="s">
        <v>65</v>
      </c>
      <c r="B27" t="s">
        <v>64</v>
      </c>
      <c r="C27" s="1">
        <v>68</v>
      </c>
      <c r="D27" s="3">
        <v>45291</v>
      </c>
    </row>
    <row r="28" spans="1:4" x14ac:dyDescent="0.25">
      <c r="A28" t="s">
        <v>65</v>
      </c>
      <c r="B28" t="s">
        <v>64</v>
      </c>
      <c r="C28" s="1">
        <v>70</v>
      </c>
      <c r="D28" s="3">
        <v>45657</v>
      </c>
    </row>
    <row r="29" spans="1:4" x14ac:dyDescent="0.25">
      <c r="A29" t="s">
        <v>65</v>
      </c>
      <c r="B29" t="s">
        <v>64</v>
      </c>
      <c r="C29" s="1">
        <v>69</v>
      </c>
      <c r="D29" s="2">
        <v>45853</v>
      </c>
    </row>
    <row r="30" spans="1:4" x14ac:dyDescent="0.25">
      <c r="A30" t="s">
        <v>41</v>
      </c>
      <c r="B30" t="s">
        <v>42</v>
      </c>
      <c r="C30" s="1">
        <v>70</v>
      </c>
      <c r="D30" s="3">
        <v>44926</v>
      </c>
    </row>
    <row r="31" spans="1:4" x14ac:dyDescent="0.25">
      <c r="A31" t="s">
        <v>41</v>
      </c>
      <c r="B31" t="s">
        <v>42</v>
      </c>
      <c r="C31" s="1">
        <v>73</v>
      </c>
      <c r="D31" s="3">
        <v>45291</v>
      </c>
    </row>
    <row r="32" spans="1:4" x14ac:dyDescent="0.25">
      <c r="A32" t="s">
        <v>41</v>
      </c>
      <c r="B32" t="s">
        <v>42</v>
      </c>
      <c r="C32" s="1">
        <v>72</v>
      </c>
      <c r="D32" s="3">
        <v>45657</v>
      </c>
    </row>
    <row r="33" spans="1:4" x14ac:dyDescent="0.25">
      <c r="A33" t="s">
        <v>41</v>
      </c>
      <c r="B33" t="s">
        <v>42</v>
      </c>
      <c r="C33" s="1">
        <v>71</v>
      </c>
      <c r="D33" s="2">
        <v>45853</v>
      </c>
    </row>
    <row r="34" spans="1:4" x14ac:dyDescent="0.25">
      <c r="A34" t="s">
        <v>102</v>
      </c>
      <c r="B34" t="s">
        <v>103</v>
      </c>
      <c r="C34" s="1">
        <v>52</v>
      </c>
      <c r="D34" s="3">
        <v>44926</v>
      </c>
    </row>
    <row r="35" spans="1:4" x14ac:dyDescent="0.25">
      <c r="A35" t="s">
        <v>102</v>
      </c>
      <c r="B35" t="s">
        <v>103</v>
      </c>
      <c r="C35" s="1">
        <v>55</v>
      </c>
      <c r="D35" s="3">
        <v>45291</v>
      </c>
    </row>
    <row r="36" spans="1:4" x14ac:dyDescent="0.25">
      <c r="A36" t="s">
        <v>102</v>
      </c>
      <c r="B36" t="s">
        <v>103</v>
      </c>
      <c r="C36" s="1">
        <v>53</v>
      </c>
      <c r="D36" s="3">
        <v>45657</v>
      </c>
    </row>
    <row r="37" spans="1:4" x14ac:dyDescent="0.25">
      <c r="A37" t="s">
        <v>102</v>
      </c>
      <c r="B37" t="s">
        <v>103</v>
      </c>
      <c r="C37" s="1">
        <v>52</v>
      </c>
      <c r="D37" s="2">
        <v>45853</v>
      </c>
    </row>
    <row r="38" spans="1:4" x14ac:dyDescent="0.25">
      <c r="A38" t="s">
        <v>8</v>
      </c>
      <c r="B38" t="s">
        <v>5</v>
      </c>
      <c r="C38" s="1">
        <v>56</v>
      </c>
      <c r="D38" s="3">
        <v>44926</v>
      </c>
    </row>
    <row r="39" spans="1:4" x14ac:dyDescent="0.25">
      <c r="A39" t="s">
        <v>8</v>
      </c>
      <c r="B39" t="s">
        <v>5</v>
      </c>
      <c r="C39" s="1">
        <v>55</v>
      </c>
      <c r="D39" s="3">
        <v>45291</v>
      </c>
    </row>
    <row r="40" spans="1:4" x14ac:dyDescent="0.25">
      <c r="A40" t="s">
        <v>8</v>
      </c>
      <c r="B40" t="s">
        <v>5</v>
      </c>
      <c r="C40" s="1">
        <v>57</v>
      </c>
      <c r="D40" s="3">
        <v>45657</v>
      </c>
    </row>
    <row r="41" spans="1:4" x14ac:dyDescent="0.25">
      <c r="A41" t="s">
        <v>8</v>
      </c>
      <c r="B41" t="s">
        <v>5</v>
      </c>
      <c r="C41" s="1">
        <v>56</v>
      </c>
      <c r="D41" s="2">
        <v>45853</v>
      </c>
    </row>
    <row r="42" spans="1:4" x14ac:dyDescent="0.25">
      <c r="A42" t="s">
        <v>22</v>
      </c>
      <c r="B42" t="s">
        <v>21</v>
      </c>
      <c r="C42" s="1">
        <v>79</v>
      </c>
      <c r="D42" s="3">
        <v>44926</v>
      </c>
    </row>
    <row r="43" spans="1:4" x14ac:dyDescent="0.25">
      <c r="A43" t="s">
        <v>22</v>
      </c>
      <c r="B43" t="s">
        <v>21</v>
      </c>
      <c r="C43" s="1">
        <v>78</v>
      </c>
      <c r="D43" s="3">
        <v>45291</v>
      </c>
    </row>
    <row r="44" spans="1:4" x14ac:dyDescent="0.25">
      <c r="A44" t="s">
        <v>22</v>
      </c>
      <c r="B44" t="s">
        <v>21</v>
      </c>
      <c r="C44" s="1">
        <v>76</v>
      </c>
      <c r="D44" s="3">
        <v>45657</v>
      </c>
    </row>
    <row r="45" spans="1:4" x14ac:dyDescent="0.25">
      <c r="A45" t="s">
        <v>22</v>
      </c>
      <c r="B45" t="s">
        <v>21</v>
      </c>
      <c r="C45" s="1">
        <v>75</v>
      </c>
      <c r="D45" s="2">
        <v>45853</v>
      </c>
    </row>
    <row r="46" spans="1:4" x14ac:dyDescent="0.25">
      <c r="A46" t="s">
        <v>66</v>
      </c>
      <c r="B46" t="s">
        <v>64</v>
      </c>
      <c r="C46" s="1">
        <v>74</v>
      </c>
      <c r="D46" s="3">
        <v>44926</v>
      </c>
    </row>
    <row r="47" spans="1:4" x14ac:dyDescent="0.25">
      <c r="A47" t="s">
        <v>66</v>
      </c>
      <c r="B47" t="s">
        <v>64</v>
      </c>
      <c r="C47" s="1">
        <v>72</v>
      </c>
      <c r="D47" s="3">
        <v>45291</v>
      </c>
    </row>
    <row r="48" spans="1:4" x14ac:dyDescent="0.25">
      <c r="A48" t="s">
        <v>66</v>
      </c>
      <c r="B48" t="s">
        <v>64</v>
      </c>
      <c r="C48" s="1">
        <v>71</v>
      </c>
      <c r="D48" s="3">
        <v>45657</v>
      </c>
    </row>
    <row r="49" spans="1:4" x14ac:dyDescent="0.25">
      <c r="A49" t="s">
        <v>66</v>
      </c>
      <c r="B49" t="s">
        <v>64</v>
      </c>
      <c r="C49" s="1">
        <v>69</v>
      </c>
      <c r="D49" s="2">
        <v>45853</v>
      </c>
    </row>
    <row r="50" spans="1:4" x14ac:dyDescent="0.25">
      <c r="A50" t="s">
        <v>67</v>
      </c>
      <c r="B50" t="s">
        <v>64</v>
      </c>
      <c r="C50" s="1">
        <v>77</v>
      </c>
      <c r="D50" s="3">
        <v>44926</v>
      </c>
    </row>
    <row r="51" spans="1:4" x14ac:dyDescent="0.25">
      <c r="A51" t="s">
        <v>67</v>
      </c>
      <c r="B51" t="s">
        <v>64</v>
      </c>
      <c r="C51" s="1">
        <v>76</v>
      </c>
      <c r="D51" s="3">
        <v>45291</v>
      </c>
    </row>
    <row r="52" spans="1:4" x14ac:dyDescent="0.25">
      <c r="A52" t="s">
        <v>67</v>
      </c>
      <c r="B52" t="s">
        <v>64</v>
      </c>
      <c r="C52" s="1">
        <v>75</v>
      </c>
      <c r="D52" s="3">
        <v>45657</v>
      </c>
    </row>
    <row r="53" spans="1:4" x14ac:dyDescent="0.25">
      <c r="A53" t="s">
        <v>67</v>
      </c>
      <c r="B53" t="s">
        <v>64</v>
      </c>
      <c r="C53" s="1">
        <v>74</v>
      </c>
      <c r="D53" s="2">
        <v>45853</v>
      </c>
    </row>
    <row r="54" spans="1:4" x14ac:dyDescent="0.25">
      <c r="A54" t="s">
        <v>56</v>
      </c>
      <c r="B54" t="s">
        <v>55</v>
      </c>
      <c r="C54" s="1">
        <v>59</v>
      </c>
      <c r="D54" s="3">
        <v>44926</v>
      </c>
    </row>
    <row r="55" spans="1:4" x14ac:dyDescent="0.25">
      <c r="A55" t="s">
        <v>56</v>
      </c>
      <c r="B55" t="s">
        <v>55</v>
      </c>
      <c r="C55" s="1">
        <v>57</v>
      </c>
      <c r="D55" s="3">
        <v>45291</v>
      </c>
    </row>
    <row r="56" spans="1:4" x14ac:dyDescent="0.25">
      <c r="A56" t="s">
        <v>56</v>
      </c>
      <c r="B56" t="s">
        <v>55</v>
      </c>
      <c r="C56" s="1">
        <v>55</v>
      </c>
      <c r="D56" s="3">
        <v>45657</v>
      </c>
    </row>
    <row r="57" spans="1:4" x14ac:dyDescent="0.25">
      <c r="A57" t="s">
        <v>56</v>
      </c>
      <c r="B57" t="s">
        <v>55</v>
      </c>
      <c r="C57" s="1">
        <v>54</v>
      </c>
      <c r="D57" s="2">
        <v>45853</v>
      </c>
    </row>
    <row r="58" spans="1:4" x14ac:dyDescent="0.25">
      <c r="A58" t="s">
        <v>85</v>
      </c>
      <c r="B58" t="s">
        <v>86</v>
      </c>
      <c r="C58" s="1">
        <v>69</v>
      </c>
      <c r="D58" s="3">
        <v>44926</v>
      </c>
    </row>
    <row r="59" spans="1:4" x14ac:dyDescent="0.25">
      <c r="A59" t="s">
        <v>85</v>
      </c>
      <c r="B59" t="s">
        <v>86</v>
      </c>
      <c r="C59" s="1">
        <v>66</v>
      </c>
      <c r="D59" s="3">
        <v>45291</v>
      </c>
    </row>
    <row r="60" spans="1:4" x14ac:dyDescent="0.25">
      <c r="A60" t="s">
        <v>85</v>
      </c>
      <c r="B60" t="s">
        <v>86</v>
      </c>
      <c r="C60" s="1">
        <v>64</v>
      </c>
      <c r="D60" s="3">
        <v>45657</v>
      </c>
    </row>
    <row r="61" spans="1:4" x14ac:dyDescent="0.25">
      <c r="A61" t="s">
        <v>85</v>
      </c>
      <c r="B61" t="s">
        <v>86</v>
      </c>
      <c r="C61" s="1">
        <v>63</v>
      </c>
      <c r="D61" s="2">
        <v>45853</v>
      </c>
    </row>
    <row r="62" spans="1:4" x14ac:dyDescent="0.25">
      <c r="A62" t="s">
        <v>23</v>
      </c>
      <c r="B62" t="s">
        <v>21</v>
      </c>
      <c r="C62" s="1">
        <v>78</v>
      </c>
      <c r="D62" s="3">
        <v>44926</v>
      </c>
    </row>
    <row r="63" spans="1:4" x14ac:dyDescent="0.25">
      <c r="A63" t="s">
        <v>23</v>
      </c>
      <c r="B63" t="s">
        <v>21</v>
      </c>
      <c r="C63" s="1">
        <v>77</v>
      </c>
      <c r="D63" s="3">
        <v>45291</v>
      </c>
    </row>
    <row r="64" spans="1:4" x14ac:dyDescent="0.25">
      <c r="A64" t="s">
        <v>23</v>
      </c>
      <c r="B64" t="s">
        <v>21</v>
      </c>
      <c r="C64" s="1">
        <v>73</v>
      </c>
      <c r="D64" s="3">
        <v>45657</v>
      </c>
    </row>
    <row r="65" spans="1:4" x14ac:dyDescent="0.25">
      <c r="A65" t="s">
        <v>23</v>
      </c>
      <c r="B65" t="s">
        <v>21</v>
      </c>
      <c r="C65" s="1">
        <v>72</v>
      </c>
      <c r="D65" s="2">
        <v>45853</v>
      </c>
    </row>
    <row r="66" spans="1:4" x14ac:dyDescent="0.25">
      <c r="A66" t="s">
        <v>111</v>
      </c>
      <c r="B66" t="s">
        <v>112</v>
      </c>
      <c r="C66" s="1">
        <v>60</v>
      </c>
      <c r="D66" s="3">
        <v>44926</v>
      </c>
    </row>
    <row r="67" spans="1:4" x14ac:dyDescent="0.25">
      <c r="A67" t="s">
        <v>111</v>
      </c>
      <c r="B67" t="s">
        <v>112</v>
      </c>
      <c r="C67" s="1">
        <v>58</v>
      </c>
      <c r="D67" s="3">
        <v>45291</v>
      </c>
    </row>
    <row r="68" spans="1:4" x14ac:dyDescent="0.25">
      <c r="A68" t="s">
        <v>111</v>
      </c>
      <c r="B68" t="s">
        <v>112</v>
      </c>
      <c r="C68" s="1">
        <v>58</v>
      </c>
      <c r="D68" s="3">
        <v>45657</v>
      </c>
    </row>
    <row r="69" spans="1:4" x14ac:dyDescent="0.25">
      <c r="A69" t="s">
        <v>111</v>
      </c>
      <c r="B69" t="s">
        <v>112</v>
      </c>
      <c r="C69" s="1">
        <v>57</v>
      </c>
      <c r="D69" s="2">
        <v>45853</v>
      </c>
    </row>
    <row r="70" spans="1:4" x14ac:dyDescent="0.25">
      <c r="A70" t="s">
        <v>68</v>
      </c>
      <c r="B70" t="s">
        <v>64</v>
      </c>
      <c r="C70" s="1">
        <v>76</v>
      </c>
      <c r="D70" s="3">
        <v>44926</v>
      </c>
    </row>
    <row r="71" spans="1:4" x14ac:dyDescent="0.25">
      <c r="A71" t="s">
        <v>68</v>
      </c>
      <c r="B71" t="s">
        <v>64</v>
      </c>
      <c r="C71" s="1">
        <v>74</v>
      </c>
      <c r="D71" s="3">
        <v>45291</v>
      </c>
    </row>
    <row r="72" spans="1:4" x14ac:dyDescent="0.25">
      <c r="A72" t="s">
        <v>68</v>
      </c>
      <c r="B72" t="s">
        <v>64</v>
      </c>
      <c r="C72" s="1">
        <v>84</v>
      </c>
      <c r="D72" s="3">
        <v>45657</v>
      </c>
    </row>
    <row r="73" spans="1:4" x14ac:dyDescent="0.25">
      <c r="A73" t="s">
        <v>68</v>
      </c>
      <c r="B73" t="s">
        <v>64</v>
      </c>
      <c r="C73" s="1">
        <v>83</v>
      </c>
      <c r="D73" s="2">
        <v>45853</v>
      </c>
    </row>
    <row r="74" spans="1:4" x14ac:dyDescent="0.25">
      <c r="A74" t="s">
        <v>24</v>
      </c>
      <c r="B74" t="s">
        <v>21</v>
      </c>
      <c r="C74" s="1">
        <v>55</v>
      </c>
      <c r="D74" s="3">
        <v>44926</v>
      </c>
    </row>
    <row r="75" spans="1:4" x14ac:dyDescent="0.25">
      <c r="A75" t="s">
        <v>24</v>
      </c>
      <c r="B75" t="s">
        <v>21</v>
      </c>
      <c r="C75" s="1">
        <v>55</v>
      </c>
      <c r="D75" s="3">
        <v>45291</v>
      </c>
    </row>
    <row r="76" spans="1:4" x14ac:dyDescent="0.25">
      <c r="A76" t="s">
        <v>24</v>
      </c>
      <c r="B76" t="s">
        <v>21</v>
      </c>
      <c r="C76" s="1">
        <v>56</v>
      </c>
      <c r="D76" s="3">
        <v>45657</v>
      </c>
    </row>
    <row r="77" spans="1:4" x14ac:dyDescent="0.25">
      <c r="A77" t="s">
        <v>24</v>
      </c>
      <c r="B77" t="s">
        <v>21</v>
      </c>
      <c r="C77" s="1">
        <v>54</v>
      </c>
      <c r="D77" s="2">
        <v>45853</v>
      </c>
    </row>
    <row r="78" spans="1:4" x14ac:dyDescent="0.25">
      <c r="A78" t="s">
        <v>25</v>
      </c>
      <c r="B78" t="s">
        <v>21</v>
      </c>
      <c r="C78" s="1">
        <v>70</v>
      </c>
      <c r="D78" s="3">
        <v>44926</v>
      </c>
    </row>
    <row r="79" spans="1:4" x14ac:dyDescent="0.25">
      <c r="A79" t="s">
        <v>25</v>
      </c>
      <c r="B79" t="s">
        <v>21</v>
      </c>
      <c r="C79" s="1">
        <v>73</v>
      </c>
      <c r="D79" s="3">
        <v>45291</v>
      </c>
    </row>
    <row r="80" spans="1:4" x14ac:dyDescent="0.25">
      <c r="A80" t="s">
        <v>25</v>
      </c>
      <c r="B80" t="s">
        <v>21</v>
      </c>
      <c r="C80" s="1">
        <v>71</v>
      </c>
      <c r="D80" s="3">
        <v>45657</v>
      </c>
    </row>
    <row r="81" spans="1:4" x14ac:dyDescent="0.25">
      <c r="A81" t="s">
        <v>25</v>
      </c>
      <c r="B81" t="s">
        <v>21</v>
      </c>
      <c r="C81" s="1">
        <v>70</v>
      </c>
      <c r="D81" s="2">
        <v>45853</v>
      </c>
    </row>
    <row r="82" spans="1:4" x14ac:dyDescent="0.25">
      <c r="A82" t="s">
        <v>43</v>
      </c>
      <c r="B82" t="s">
        <v>42</v>
      </c>
      <c r="C82" s="1">
        <v>66</v>
      </c>
      <c r="D82" s="3">
        <v>44926</v>
      </c>
    </row>
    <row r="83" spans="1:4" x14ac:dyDescent="0.25">
      <c r="A83" t="s">
        <v>43</v>
      </c>
      <c r="B83" t="s">
        <v>42</v>
      </c>
      <c r="C83" s="1">
        <v>69</v>
      </c>
      <c r="D83" s="3">
        <v>45291</v>
      </c>
    </row>
    <row r="84" spans="1:4" x14ac:dyDescent="0.25">
      <c r="A84" t="s">
        <v>43</v>
      </c>
      <c r="B84" t="s">
        <v>42</v>
      </c>
      <c r="C84" s="1">
        <v>67</v>
      </c>
      <c r="D84" s="3">
        <v>45657</v>
      </c>
    </row>
    <row r="85" spans="1:4" x14ac:dyDescent="0.25">
      <c r="A85" t="s">
        <v>43</v>
      </c>
      <c r="B85" t="s">
        <v>42</v>
      </c>
      <c r="C85" s="1">
        <v>66</v>
      </c>
      <c r="D85" s="2">
        <v>45853</v>
      </c>
    </row>
    <row r="86" spans="1:4" x14ac:dyDescent="0.25">
      <c r="A86" t="s">
        <v>113</v>
      </c>
      <c r="B86" t="s">
        <v>112</v>
      </c>
      <c r="C86" s="1">
        <v>66</v>
      </c>
      <c r="D86" s="3">
        <v>44926</v>
      </c>
    </row>
    <row r="87" spans="1:4" x14ac:dyDescent="0.25">
      <c r="A87" t="s">
        <v>113</v>
      </c>
      <c r="B87" t="s">
        <v>112</v>
      </c>
      <c r="C87" s="1">
        <v>74</v>
      </c>
      <c r="D87" s="3">
        <v>45291</v>
      </c>
    </row>
    <row r="88" spans="1:4" x14ac:dyDescent="0.25">
      <c r="A88" t="s">
        <v>113</v>
      </c>
      <c r="B88" t="s">
        <v>112</v>
      </c>
      <c r="C88" s="1">
        <v>75</v>
      </c>
      <c r="D88" s="3">
        <v>45657</v>
      </c>
    </row>
    <row r="89" spans="1:4" x14ac:dyDescent="0.25">
      <c r="A89" t="s">
        <v>113</v>
      </c>
      <c r="B89" t="s">
        <v>112</v>
      </c>
      <c r="C89" s="1">
        <v>74</v>
      </c>
      <c r="D89" s="2">
        <v>45853</v>
      </c>
    </row>
    <row r="90" spans="1:4" x14ac:dyDescent="0.25">
      <c r="A90" t="s">
        <v>87</v>
      </c>
      <c r="B90" t="s">
        <v>86</v>
      </c>
      <c r="C90" s="1">
        <v>82</v>
      </c>
      <c r="D90" s="3">
        <v>44926</v>
      </c>
    </row>
    <row r="91" spans="1:4" x14ac:dyDescent="0.25">
      <c r="A91" t="s">
        <v>87</v>
      </c>
      <c r="B91" t="s">
        <v>86</v>
      </c>
      <c r="C91" s="1">
        <v>81</v>
      </c>
      <c r="D91" s="3">
        <v>45291</v>
      </c>
    </row>
    <row r="92" spans="1:4" x14ac:dyDescent="0.25">
      <c r="A92" t="s">
        <v>87</v>
      </c>
      <c r="B92" t="s">
        <v>86</v>
      </c>
      <c r="C92" s="1">
        <v>82</v>
      </c>
      <c r="D92" s="3">
        <v>45657</v>
      </c>
    </row>
    <row r="93" spans="1:4" x14ac:dyDescent="0.25">
      <c r="A93" t="s">
        <v>87</v>
      </c>
      <c r="B93" t="s">
        <v>86</v>
      </c>
      <c r="C93" s="1">
        <v>81</v>
      </c>
      <c r="D93" s="2">
        <v>45853</v>
      </c>
    </row>
    <row r="94" spans="1:4" x14ac:dyDescent="0.25">
      <c r="A94" t="s">
        <v>69</v>
      </c>
      <c r="B94" t="s">
        <v>64</v>
      </c>
      <c r="C94" s="1">
        <v>79</v>
      </c>
      <c r="D94" s="3">
        <v>44926</v>
      </c>
    </row>
    <row r="95" spans="1:4" x14ac:dyDescent="0.25">
      <c r="A95" t="s">
        <v>69</v>
      </c>
      <c r="B95" t="s">
        <v>64</v>
      </c>
      <c r="C95" s="1">
        <v>79</v>
      </c>
      <c r="D95" s="3">
        <v>45291</v>
      </c>
    </row>
    <row r="96" spans="1:4" x14ac:dyDescent="0.25">
      <c r="A96" t="s">
        <v>69</v>
      </c>
      <c r="B96" t="s">
        <v>64</v>
      </c>
      <c r="C96" s="1">
        <v>77</v>
      </c>
      <c r="D96" s="3">
        <v>45657</v>
      </c>
    </row>
    <row r="97" spans="1:4" x14ac:dyDescent="0.25">
      <c r="A97" t="s">
        <v>69</v>
      </c>
      <c r="B97" t="s">
        <v>64</v>
      </c>
      <c r="C97" s="1">
        <v>76</v>
      </c>
      <c r="D97" s="2">
        <v>45853</v>
      </c>
    </row>
    <row r="98" spans="1:4" x14ac:dyDescent="0.25">
      <c r="A98" t="s">
        <v>26</v>
      </c>
      <c r="B98" t="s">
        <v>21</v>
      </c>
      <c r="C98" s="1">
        <v>77</v>
      </c>
      <c r="D98" s="3">
        <v>44926</v>
      </c>
    </row>
    <row r="99" spans="1:4" x14ac:dyDescent="0.25">
      <c r="A99" t="s">
        <v>26</v>
      </c>
      <c r="B99" t="s">
        <v>21</v>
      </c>
      <c r="C99" s="1">
        <v>78</v>
      </c>
      <c r="D99" s="3">
        <v>45291</v>
      </c>
    </row>
    <row r="100" spans="1:4" x14ac:dyDescent="0.25">
      <c r="A100" t="s">
        <v>26</v>
      </c>
      <c r="B100" t="s">
        <v>21</v>
      </c>
      <c r="C100" s="1">
        <v>79</v>
      </c>
      <c r="D100" s="3">
        <v>45657</v>
      </c>
    </row>
    <row r="101" spans="1:4" x14ac:dyDescent="0.25">
      <c r="A101" t="s">
        <v>26</v>
      </c>
      <c r="B101" t="s">
        <v>21</v>
      </c>
      <c r="C101" s="1">
        <v>78</v>
      </c>
      <c r="D101" s="2">
        <v>45853</v>
      </c>
    </row>
    <row r="102" spans="1:4" x14ac:dyDescent="0.25">
      <c r="A102" t="s">
        <v>104</v>
      </c>
      <c r="B102" t="s">
        <v>103</v>
      </c>
      <c r="C102" s="1">
        <v>63</v>
      </c>
      <c r="D102" s="3">
        <v>44926</v>
      </c>
    </row>
    <row r="103" spans="1:4" x14ac:dyDescent="0.25">
      <c r="A103" t="s">
        <v>104</v>
      </c>
      <c r="B103" t="s">
        <v>103</v>
      </c>
      <c r="C103" s="1">
        <v>67</v>
      </c>
      <c r="D103" s="3">
        <v>45291</v>
      </c>
    </row>
    <row r="104" spans="1:4" x14ac:dyDescent="0.25">
      <c r="A104" t="s">
        <v>104</v>
      </c>
      <c r="B104" t="s">
        <v>103</v>
      </c>
      <c r="C104" s="1">
        <v>64</v>
      </c>
      <c r="D104" s="3">
        <v>45657</v>
      </c>
    </row>
    <row r="105" spans="1:4" x14ac:dyDescent="0.25">
      <c r="A105" t="s">
        <v>104</v>
      </c>
      <c r="B105" t="s">
        <v>103</v>
      </c>
      <c r="C105" s="1">
        <v>63</v>
      </c>
      <c r="D105" s="2">
        <v>45853</v>
      </c>
    </row>
    <row r="106" spans="1:4" x14ac:dyDescent="0.25">
      <c r="A106" t="s">
        <v>9</v>
      </c>
      <c r="B106" t="s">
        <v>5</v>
      </c>
      <c r="C106" s="1">
        <v>78</v>
      </c>
      <c r="D106" s="3">
        <v>44926</v>
      </c>
    </row>
    <row r="107" spans="1:4" x14ac:dyDescent="0.25">
      <c r="A107" t="s">
        <v>9</v>
      </c>
      <c r="B107" t="s">
        <v>5</v>
      </c>
      <c r="C107" s="1">
        <v>78</v>
      </c>
      <c r="D107" s="3">
        <v>45291</v>
      </c>
    </row>
    <row r="108" spans="1:4" x14ac:dyDescent="0.25">
      <c r="A108" t="s">
        <v>9</v>
      </c>
      <c r="B108" t="s">
        <v>5</v>
      </c>
      <c r="C108" s="1">
        <v>77</v>
      </c>
      <c r="D108" s="3">
        <v>45657</v>
      </c>
    </row>
    <row r="109" spans="1:4" x14ac:dyDescent="0.25">
      <c r="A109" t="s">
        <v>9</v>
      </c>
      <c r="B109" t="s">
        <v>5</v>
      </c>
      <c r="C109" s="1">
        <v>77</v>
      </c>
      <c r="D109" s="2">
        <v>45853</v>
      </c>
    </row>
    <row r="110" spans="1:4" x14ac:dyDescent="0.25">
      <c r="A110" t="s">
        <v>27</v>
      </c>
      <c r="B110" t="s">
        <v>21</v>
      </c>
      <c r="C110" s="1">
        <v>69</v>
      </c>
      <c r="D110" s="3">
        <v>44926</v>
      </c>
    </row>
    <row r="111" spans="1:4" x14ac:dyDescent="0.25">
      <c r="A111" t="s">
        <v>27</v>
      </c>
      <c r="B111" t="s">
        <v>21</v>
      </c>
      <c r="C111" s="1">
        <v>68</v>
      </c>
      <c r="D111" s="3">
        <v>45291</v>
      </c>
    </row>
    <row r="112" spans="1:4" x14ac:dyDescent="0.25">
      <c r="A112" t="s">
        <v>27</v>
      </c>
      <c r="B112" t="s">
        <v>21</v>
      </c>
      <c r="C112" s="1">
        <v>66</v>
      </c>
      <c r="D112" s="3">
        <v>45657</v>
      </c>
    </row>
    <row r="113" spans="1:4" x14ac:dyDescent="0.25">
      <c r="A113" t="s">
        <v>27</v>
      </c>
      <c r="B113" t="s">
        <v>21</v>
      </c>
      <c r="C113" s="1">
        <v>65</v>
      </c>
      <c r="D113" s="2">
        <v>45853</v>
      </c>
    </row>
    <row r="114" spans="1:4" x14ac:dyDescent="0.25">
      <c r="A114" t="s">
        <v>10</v>
      </c>
      <c r="B114" t="s">
        <v>5</v>
      </c>
      <c r="C114" s="1">
        <v>81</v>
      </c>
      <c r="D114" s="3">
        <v>44926</v>
      </c>
    </row>
    <row r="115" spans="1:4" x14ac:dyDescent="0.25">
      <c r="A115" t="s">
        <v>10</v>
      </c>
      <c r="B115" t="s">
        <v>5</v>
      </c>
      <c r="C115" s="1">
        <v>79</v>
      </c>
      <c r="D115" s="3">
        <v>45291</v>
      </c>
    </row>
    <row r="116" spans="1:4" x14ac:dyDescent="0.25">
      <c r="A116" t="s">
        <v>10</v>
      </c>
      <c r="B116" t="s">
        <v>5</v>
      </c>
      <c r="C116" s="1">
        <v>75</v>
      </c>
      <c r="D116" s="3">
        <v>45657</v>
      </c>
    </row>
    <row r="117" spans="1:4" x14ac:dyDescent="0.25">
      <c r="A117" t="s">
        <v>10</v>
      </c>
      <c r="B117" t="s">
        <v>5</v>
      </c>
      <c r="C117" s="1">
        <v>74</v>
      </c>
      <c r="D117" s="2">
        <v>45853</v>
      </c>
    </row>
    <row r="118" spans="1:4" x14ac:dyDescent="0.25">
      <c r="A118" t="s">
        <v>70</v>
      </c>
      <c r="B118" t="s">
        <v>64</v>
      </c>
      <c r="C118" s="1">
        <v>61</v>
      </c>
      <c r="D118" s="3">
        <v>44926</v>
      </c>
    </row>
    <row r="119" spans="1:4" x14ac:dyDescent="0.25">
      <c r="A119" t="s">
        <v>70</v>
      </c>
      <c r="B119" t="s">
        <v>64</v>
      </c>
      <c r="C119" s="1">
        <v>60</v>
      </c>
      <c r="D119" s="3">
        <v>45291</v>
      </c>
    </row>
    <row r="120" spans="1:4" x14ac:dyDescent="0.25">
      <c r="A120" t="s">
        <v>70</v>
      </c>
      <c r="B120" t="s">
        <v>64</v>
      </c>
      <c r="C120" s="1">
        <v>58</v>
      </c>
      <c r="D120" s="3">
        <v>45657</v>
      </c>
    </row>
    <row r="121" spans="1:4" x14ac:dyDescent="0.25">
      <c r="A121" t="s">
        <v>70</v>
      </c>
      <c r="B121" t="s">
        <v>64</v>
      </c>
      <c r="C121" s="1">
        <v>57</v>
      </c>
      <c r="D121" s="2">
        <v>45853</v>
      </c>
    </row>
    <row r="122" spans="1:4" x14ac:dyDescent="0.25">
      <c r="A122" t="s">
        <v>44</v>
      </c>
      <c r="B122" t="s">
        <v>42</v>
      </c>
      <c r="C122" s="1">
        <v>55</v>
      </c>
      <c r="D122" s="3">
        <v>44926</v>
      </c>
    </row>
    <row r="123" spans="1:4" x14ac:dyDescent="0.25">
      <c r="A123" t="s">
        <v>44</v>
      </c>
      <c r="B123" t="s">
        <v>42</v>
      </c>
      <c r="C123" s="1">
        <v>53</v>
      </c>
      <c r="D123" s="3">
        <v>45291</v>
      </c>
    </row>
    <row r="124" spans="1:4" x14ac:dyDescent="0.25">
      <c r="A124" t="s">
        <v>44</v>
      </c>
      <c r="B124" t="s">
        <v>42</v>
      </c>
      <c r="C124" s="1">
        <v>52</v>
      </c>
      <c r="D124" s="3">
        <v>45657</v>
      </c>
    </row>
    <row r="125" spans="1:4" x14ac:dyDescent="0.25">
      <c r="A125" t="s">
        <v>44</v>
      </c>
      <c r="B125" t="s">
        <v>42</v>
      </c>
      <c r="C125" s="1">
        <v>51</v>
      </c>
      <c r="D125" s="2">
        <v>45853</v>
      </c>
    </row>
    <row r="126" spans="1:4" x14ac:dyDescent="0.25">
      <c r="A126" t="s">
        <v>105</v>
      </c>
      <c r="B126" t="s">
        <v>103</v>
      </c>
      <c r="C126" s="1">
        <v>64</v>
      </c>
      <c r="D126" s="3">
        <v>44926</v>
      </c>
    </row>
    <row r="127" spans="1:4" x14ac:dyDescent="0.25">
      <c r="A127" t="s">
        <v>105</v>
      </c>
      <c r="B127" t="s">
        <v>103</v>
      </c>
      <c r="C127" s="1">
        <v>65</v>
      </c>
      <c r="D127" s="3">
        <v>45291</v>
      </c>
    </row>
    <row r="128" spans="1:4" x14ac:dyDescent="0.25">
      <c r="A128" t="s">
        <v>105</v>
      </c>
      <c r="B128" t="s">
        <v>103</v>
      </c>
      <c r="C128" s="1">
        <v>63</v>
      </c>
      <c r="D128" s="3">
        <v>45657</v>
      </c>
    </row>
    <row r="129" spans="1:4" x14ac:dyDescent="0.25">
      <c r="A129" t="s">
        <v>105</v>
      </c>
      <c r="B129" t="s">
        <v>103</v>
      </c>
      <c r="C129" s="1">
        <v>61</v>
      </c>
      <c r="D129" s="2">
        <v>45853</v>
      </c>
    </row>
    <row r="130" spans="1:4" x14ac:dyDescent="0.25">
      <c r="A130" t="s">
        <v>71</v>
      </c>
      <c r="B130" t="s">
        <v>64</v>
      </c>
      <c r="C130" s="1">
        <v>77</v>
      </c>
      <c r="D130" s="3">
        <v>44926</v>
      </c>
    </row>
    <row r="131" spans="1:4" x14ac:dyDescent="0.25">
      <c r="A131" t="s">
        <v>71</v>
      </c>
      <c r="B131" t="s">
        <v>64</v>
      </c>
      <c r="C131" s="1">
        <v>78</v>
      </c>
      <c r="D131" s="3">
        <v>45291</v>
      </c>
    </row>
    <row r="132" spans="1:4" x14ac:dyDescent="0.25">
      <c r="A132" t="s">
        <v>71</v>
      </c>
      <c r="B132" t="s">
        <v>64</v>
      </c>
      <c r="C132" s="1">
        <v>77</v>
      </c>
      <c r="D132" s="3">
        <v>45657</v>
      </c>
    </row>
    <row r="133" spans="1:4" x14ac:dyDescent="0.25">
      <c r="A133" t="s">
        <v>71</v>
      </c>
      <c r="B133" t="s">
        <v>64</v>
      </c>
      <c r="C133" s="1">
        <v>76</v>
      </c>
      <c r="D133" s="2">
        <v>45853</v>
      </c>
    </row>
    <row r="134" spans="1:4" x14ac:dyDescent="0.25">
      <c r="A134" t="s">
        <v>11</v>
      </c>
      <c r="B134" t="s">
        <v>5</v>
      </c>
      <c r="C134" s="1">
        <v>71</v>
      </c>
      <c r="D134" s="3">
        <v>44926</v>
      </c>
    </row>
    <row r="135" spans="1:4" x14ac:dyDescent="0.25">
      <c r="A135" t="s">
        <v>11</v>
      </c>
      <c r="B135" t="s">
        <v>5</v>
      </c>
      <c r="C135" s="1">
        <v>70</v>
      </c>
      <c r="D135" s="3">
        <v>45291</v>
      </c>
    </row>
    <row r="136" spans="1:4" x14ac:dyDescent="0.25">
      <c r="A136" t="s">
        <v>11</v>
      </c>
      <c r="B136" t="s">
        <v>5</v>
      </c>
      <c r="C136" s="1">
        <v>71</v>
      </c>
      <c r="D136" s="3">
        <v>45657</v>
      </c>
    </row>
    <row r="137" spans="1:4" x14ac:dyDescent="0.25">
      <c r="A137" t="s">
        <v>11</v>
      </c>
      <c r="B137" t="s">
        <v>5</v>
      </c>
      <c r="C137" s="1">
        <v>69</v>
      </c>
      <c r="D137" s="2">
        <v>45853</v>
      </c>
    </row>
    <row r="138" spans="1:4" x14ac:dyDescent="0.25">
      <c r="A138" t="s">
        <v>88</v>
      </c>
      <c r="B138" t="s">
        <v>86</v>
      </c>
      <c r="C138" s="1">
        <v>61</v>
      </c>
      <c r="D138" s="3">
        <v>44926</v>
      </c>
    </row>
    <row r="139" spans="1:4" x14ac:dyDescent="0.25">
      <c r="A139" t="s">
        <v>88</v>
      </c>
      <c r="B139" t="s">
        <v>86</v>
      </c>
      <c r="C139" s="1">
        <v>64</v>
      </c>
      <c r="D139" s="3">
        <v>45291</v>
      </c>
    </row>
    <row r="140" spans="1:4" x14ac:dyDescent="0.25">
      <c r="A140" t="s">
        <v>88</v>
      </c>
      <c r="B140" t="s">
        <v>86</v>
      </c>
      <c r="C140" s="1">
        <v>64</v>
      </c>
      <c r="D140" s="3">
        <v>45657</v>
      </c>
    </row>
    <row r="141" spans="1:4" x14ac:dyDescent="0.25">
      <c r="A141" t="s">
        <v>88</v>
      </c>
      <c r="B141" t="s">
        <v>86</v>
      </c>
      <c r="C141" s="1">
        <v>62</v>
      </c>
      <c r="D141" s="2">
        <v>45853</v>
      </c>
    </row>
    <row r="142" spans="1:4" x14ac:dyDescent="0.25">
      <c r="A142" t="s">
        <v>72</v>
      </c>
      <c r="B142" t="s">
        <v>64</v>
      </c>
      <c r="C142" s="1">
        <v>66</v>
      </c>
      <c r="D142" s="3">
        <v>44926</v>
      </c>
    </row>
    <row r="143" spans="1:4" x14ac:dyDescent="0.25">
      <c r="A143" t="s">
        <v>72</v>
      </c>
      <c r="B143" t="s">
        <v>64</v>
      </c>
      <c r="C143" s="1">
        <v>64</v>
      </c>
      <c r="D143" s="3">
        <v>45291</v>
      </c>
    </row>
    <row r="144" spans="1:4" x14ac:dyDescent="0.25">
      <c r="A144" t="s">
        <v>72</v>
      </c>
      <c r="B144" t="s">
        <v>64</v>
      </c>
      <c r="C144" s="1">
        <v>63</v>
      </c>
      <c r="D144" s="3">
        <v>45657</v>
      </c>
    </row>
    <row r="145" spans="1:4" x14ac:dyDescent="0.25">
      <c r="A145" t="s">
        <v>72</v>
      </c>
      <c r="B145" t="s">
        <v>64</v>
      </c>
      <c r="C145" s="1">
        <v>62</v>
      </c>
      <c r="D145" s="2">
        <v>45853</v>
      </c>
    </row>
    <row r="146" spans="1:4" x14ac:dyDescent="0.25">
      <c r="A146" t="s">
        <v>12</v>
      </c>
      <c r="B146" t="s">
        <v>5</v>
      </c>
      <c r="C146" s="1">
        <v>70</v>
      </c>
      <c r="D146" s="3">
        <v>44926</v>
      </c>
    </row>
    <row r="147" spans="1:4" x14ac:dyDescent="0.25">
      <c r="A147" t="s">
        <v>12</v>
      </c>
      <c r="B147" t="s">
        <v>5</v>
      </c>
      <c r="C147" s="1">
        <v>73</v>
      </c>
      <c r="D147" s="3">
        <v>45291</v>
      </c>
    </row>
    <row r="148" spans="1:4" x14ac:dyDescent="0.25">
      <c r="A148" t="s">
        <v>12</v>
      </c>
      <c r="B148" t="s">
        <v>5</v>
      </c>
      <c r="C148" s="1">
        <v>76</v>
      </c>
      <c r="D148" s="3">
        <v>45657</v>
      </c>
    </row>
    <row r="149" spans="1:4" x14ac:dyDescent="0.25">
      <c r="A149" t="s">
        <v>12</v>
      </c>
      <c r="B149" t="s">
        <v>5</v>
      </c>
      <c r="C149" s="1">
        <v>74</v>
      </c>
      <c r="D149" s="2">
        <v>45853</v>
      </c>
    </row>
    <row r="150" spans="1:4" x14ac:dyDescent="0.25">
      <c r="A150" t="s">
        <v>114</v>
      </c>
      <c r="B150" t="s">
        <v>112</v>
      </c>
      <c r="C150" s="1">
        <v>72</v>
      </c>
      <c r="D150" s="3">
        <v>44926</v>
      </c>
    </row>
    <row r="151" spans="1:4" x14ac:dyDescent="0.25">
      <c r="A151" t="s">
        <v>114</v>
      </c>
      <c r="B151" t="s">
        <v>112</v>
      </c>
      <c r="C151" s="1">
        <v>70</v>
      </c>
      <c r="D151" s="3">
        <v>45291</v>
      </c>
    </row>
    <row r="152" spans="1:4" x14ac:dyDescent="0.25">
      <c r="A152" t="s">
        <v>114</v>
      </c>
      <c r="B152" t="s">
        <v>112</v>
      </c>
      <c r="C152" s="1">
        <v>68</v>
      </c>
      <c r="D152" s="3">
        <v>45657</v>
      </c>
    </row>
    <row r="153" spans="1:4" x14ac:dyDescent="0.25">
      <c r="A153" t="s">
        <v>114</v>
      </c>
      <c r="B153" t="s">
        <v>112</v>
      </c>
      <c r="C153" s="1">
        <v>67</v>
      </c>
      <c r="D153" s="2">
        <v>45853</v>
      </c>
    </row>
    <row r="154" spans="1:4" x14ac:dyDescent="0.25">
      <c r="A154" t="s">
        <v>57</v>
      </c>
      <c r="B154" t="s">
        <v>55</v>
      </c>
      <c r="C154" s="1">
        <v>48</v>
      </c>
      <c r="D154" s="3">
        <v>44926</v>
      </c>
    </row>
    <row r="155" spans="1:4" x14ac:dyDescent="0.25">
      <c r="A155" t="s">
        <v>57</v>
      </c>
      <c r="B155" t="s">
        <v>55</v>
      </c>
      <c r="C155" s="1">
        <v>52</v>
      </c>
      <c r="D155" s="3">
        <v>45291</v>
      </c>
    </row>
    <row r="156" spans="1:4" x14ac:dyDescent="0.25">
      <c r="A156" t="s">
        <v>57</v>
      </c>
      <c r="B156" t="s">
        <v>55</v>
      </c>
      <c r="C156" s="1">
        <v>63</v>
      </c>
      <c r="D156" s="3">
        <v>45657</v>
      </c>
    </row>
    <row r="157" spans="1:4" x14ac:dyDescent="0.25">
      <c r="A157" t="s">
        <v>57</v>
      </c>
      <c r="B157" t="s">
        <v>55</v>
      </c>
      <c r="C157" s="1">
        <v>61</v>
      </c>
      <c r="D157" s="2">
        <v>45853</v>
      </c>
    </row>
    <row r="158" spans="1:4" x14ac:dyDescent="0.25">
      <c r="A158" t="s">
        <v>28</v>
      </c>
      <c r="B158" t="s">
        <v>21</v>
      </c>
      <c r="C158" s="1">
        <v>64</v>
      </c>
      <c r="D158" s="3">
        <v>44926</v>
      </c>
    </row>
    <row r="159" spans="1:4" x14ac:dyDescent="0.25">
      <c r="A159" t="s">
        <v>28</v>
      </c>
      <c r="B159" t="s">
        <v>21</v>
      </c>
      <c r="C159" s="1">
        <v>62</v>
      </c>
      <c r="D159" s="3">
        <v>45291</v>
      </c>
    </row>
    <row r="160" spans="1:4" x14ac:dyDescent="0.25">
      <c r="A160" t="s">
        <v>28</v>
      </c>
      <c r="B160" t="s">
        <v>21</v>
      </c>
      <c r="C160" s="1">
        <v>60</v>
      </c>
      <c r="D160" s="3">
        <v>45657</v>
      </c>
    </row>
    <row r="161" spans="1:4" x14ac:dyDescent="0.25">
      <c r="A161" t="s">
        <v>28</v>
      </c>
      <c r="B161" t="s">
        <v>21</v>
      </c>
      <c r="C161" s="1">
        <v>59</v>
      </c>
      <c r="D161" s="2">
        <v>45853</v>
      </c>
    </row>
    <row r="162" spans="1:4" x14ac:dyDescent="0.25">
      <c r="A162" t="s">
        <v>73</v>
      </c>
      <c r="B162" t="s">
        <v>64</v>
      </c>
      <c r="C162" s="1">
        <v>80</v>
      </c>
      <c r="D162" s="3">
        <v>44926</v>
      </c>
    </row>
    <row r="163" spans="1:4" x14ac:dyDescent="0.25">
      <c r="A163" t="s">
        <v>73</v>
      </c>
      <c r="B163" t="s">
        <v>64</v>
      </c>
      <c r="C163" s="1">
        <v>83</v>
      </c>
      <c r="D163" s="3">
        <v>45291</v>
      </c>
    </row>
    <row r="164" spans="1:4" x14ac:dyDescent="0.25">
      <c r="A164" t="s">
        <v>73</v>
      </c>
      <c r="B164" t="s">
        <v>64</v>
      </c>
      <c r="C164" s="1">
        <v>81</v>
      </c>
      <c r="D164" s="3">
        <v>45657</v>
      </c>
    </row>
    <row r="165" spans="1:4" x14ac:dyDescent="0.25">
      <c r="A165" t="s">
        <v>73</v>
      </c>
      <c r="B165" t="s">
        <v>64</v>
      </c>
      <c r="C165" s="1">
        <v>79</v>
      </c>
      <c r="D165" s="2">
        <v>45853</v>
      </c>
    </row>
    <row r="166" spans="1:4" x14ac:dyDescent="0.25">
      <c r="A166" t="s">
        <v>29</v>
      </c>
      <c r="B166" t="s">
        <v>21</v>
      </c>
      <c r="C166" s="1">
        <v>75</v>
      </c>
      <c r="D166" s="3">
        <v>44926</v>
      </c>
    </row>
    <row r="167" spans="1:4" x14ac:dyDescent="0.25">
      <c r="A167" t="s">
        <v>29</v>
      </c>
      <c r="B167" t="s">
        <v>21</v>
      </c>
      <c r="C167" s="1">
        <v>73</v>
      </c>
      <c r="D167" s="3">
        <v>45291</v>
      </c>
    </row>
    <row r="168" spans="1:4" x14ac:dyDescent="0.25">
      <c r="A168" t="s">
        <v>29</v>
      </c>
      <c r="B168" t="s">
        <v>21</v>
      </c>
      <c r="C168" s="1">
        <v>77</v>
      </c>
      <c r="D168" s="3">
        <v>45657</v>
      </c>
    </row>
    <row r="169" spans="1:4" x14ac:dyDescent="0.25">
      <c r="A169" t="s">
        <v>29</v>
      </c>
      <c r="B169" t="s">
        <v>21</v>
      </c>
      <c r="C169" s="1">
        <v>76</v>
      </c>
      <c r="D169" s="2">
        <v>45853</v>
      </c>
    </row>
    <row r="170" spans="1:4" x14ac:dyDescent="0.25">
      <c r="A170" t="s">
        <v>45</v>
      </c>
      <c r="B170" t="s">
        <v>42</v>
      </c>
      <c r="C170" s="1">
        <v>85</v>
      </c>
      <c r="D170" s="3">
        <v>44926</v>
      </c>
    </row>
    <row r="171" spans="1:4" x14ac:dyDescent="0.25">
      <c r="A171" t="s">
        <v>45</v>
      </c>
      <c r="B171" t="s">
        <v>42</v>
      </c>
      <c r="C171" s="1">
        <v>89</v>
      </c>
      <c r="D171" s="3">
        <v>45291</v>
      </c>
    </row>
    <row r="172" spans="1:4" x14ac:dyDescent="0.25">
      <c r="A172" t="s">
        <v>45</v>
      </c>
      <c r="B172" t="s">
        <v>42</v>
      </c>
      <c r="C172" s="1">
        <v>87</v>
      </c>
      <c r="D172" s="3">
        <v>45657</v>
      </c>
    </row>
    <row r="173" spans="1:4" x14ac:dyDescent="0.25">
      <c r="A173" t="s">
        <v>45</v>
      </c>
      <c r="B173" t="s">
        <v>42</v>
      </c>
      <c r="C173" s="1">
        <v>86</v>
      </c>
      <c r="D173" s="2">
        <v>45853</v>
      </c>
    </row>
    <row r="174" spans="1:4" x14ac:dyDescent="0.25">
      <c r="A174" t="s">
        <v>13</v>
      </c>
      <c r="B174" t="s">
        <v>5</v>
      </c>
      <c r="C174" s="1">
        <v>76</v>
      </c>
      <c r="D174" s="3">
        <v>44926</v>
      </c>
    </row>
    <row r="175" spans="1:4" x14ac:dyDescent="0.25">
      <c r="A175" t="s">
        <v>13</v>
      </c>
      <c r="B175" t="s">
        <v>5</v>
      </c>
      <c r="C175" s="1">
        <v>76</v>
      </c>
      <c r="D175" s="3">
        <v>45291</v>
      </c>
    </row>
    <row r="176" spans="1:4" x14ac:dyDescent="0.25">
      <c r="A176" t="s">
        <v>13</v>
      </c>
      <c r="B176" t="s">
        <v>5</v>
      </c>
      <c r="C176" s="1">
        <v>74</v>
      </c>
      <c r="D176" s="3">
        <v>45657</v>
      </c>
    </row>
    <row r="177" spans="1:4" x14ac:dyDescent="0.25">
      <c r="A177" t="s">
        <v>13</v>
      </c>
      <c r="B177" t="s">
        <v>5</v>
      </c>
      <c r="C177" s="1">
        <v>73</v>
      </c>
      <c r="D177" s="2">
        <v>45853</v>
      </c>
    </row>
    <row r="178" spans="1:4" x14ac:dyDescent="0.25">
      <c r="A178" t="s">
        <v>89</v>
      </c>
      <c r="B178" t="s">
        <v>86</v>
      </c>
      <c r="C178" s="1">
        <v>75</v>
      </c>
      <c r="D178" s="3">
        <v>44926</v>
      </c>
    </row>
    <row r="179" spans="1:4" x14ac:dyDescent="0.25">
      <c r="A179" t="s">
        <v>89</v>
      </c>
      <c r="B179" t="s">
        <v>86</v>
      </c>
      <c r="C179" s="1">
        <v>73</v>
      </c>
      <c r="D179" s="3">
        <v>45291</v>
      </c>
    </row>
    <row r="180" spans="1:4" x14ac:dyDescent="0.25">
      <c r="A180" t="s">
        <v>89</v>
      </c>
      <c r="B180" t="s">
        <v>86</v>
      </c>
      <c r="C180" s="1">
        <v>71</v>
      </c>
      <c r="D180" s="3">
        <v>45657</v>
      </c>
    </row>
    <row r="181" spans="1:4" x14ac:dyDescent="0.25">
      <c r="A181" t="s">
        <v>89</v>
      </c>
      <c r="B181" t="s">
        <v>86</v>
      </c>
      <c r="C181" s="1">
        <v>70</v>
      </c>
      <c r="D181" s="2">
        <v>45853</v>
      </c>
    </row>
    <row r="182" spans="1:4" x14ac:dyDescent="0.25">
      <c r="A182" t="s">
        <v>90</v>
      </c>
      <c r="B182" t="s">
        <v>86</v>
      </c>
      <c r="C182" s="1">
        <v>79</v>
      </c>
      <c r="D182" s="3">
        <v>44926</v>
      </c>
    </row>
    <row r="183" spans="1:4" x14ac:dyDescent="0.25">
      <c r="A183" t="s">
        <v>90</v>
      </c>
      <c r="B183" t="s">
        <v>86</v>
      </c>
      <c r="C183" s="1">
        <v>79</v>
      </c>
      <c r="D183" s="3">
        <v>45291</v>
      </c>
    </row>
    <row r="184" spans="1:4" x14ac:dyDescent="0.25">
      <c r="A184" t="s">
        <v>90</v>
      </c>
      <c r="B184" t="s">
        <v>86</v>
      </c>
      <c r="C184" s="1">
        <v>81</v>
      </c>
      <c r="D184" s="3">
        <v>45657</v>
      </c>
    </row>
    <row r="185" spans="1:4" x14ac:dyDescent="0.25">
      <c r="A185" t="s">
        <v>90</v>
      </c>
      <c r="B185" t="s">
        <v>86</v>
      </c>
      <c r="C185" s="1">
        <v>80</v>
      </c>
      <c r="D185" s="2">
        <v>45853</v>
      </c>
    </row>
    <row r="186" spans="1:4" x14ac:dyDescent="0.25">
      <c r="A186" t="s">
        <v>91</v>
      </c>
      <c r="B186" t="s">
        <v>86</v>
      </c>
      <c r="C186" s="1">
        <v>73</v>
      </c>
      <c r="D186" s="3">
        <v>44926</v>
      </c>
    </row>
    <row r="187" spans="1:4" x14ac:dyDescent="0.25">
      <c r="A187" t="s">
        <v>91</v>
      </c>
      <c r="B187" t="s">
        <v>86</v>
      </c>
      <c r="C187" s="1">
        <v>75</v>
      </c>
      <c r="D187" s="3">
        <v>45291</v>
      </c>
    </row>
    <row r="188" spans="1:4" x14ac:dyDescent="0.25">
      <c r="A188" t="s">
        <v>91</v>
      </c>
      <c r="B188" t="s">
        <v>86</v>
      </c>
      <c r="C188" s="1">
        <v>82</v>
      </c>
      <c r="D188" s="3">
        <v>45657</v>
      </c>
    </row>
    <row r="189" spans="1:4" x14ac:dyDescent="0.25">
      <c r="A189" t="s">
        <v>91</v>
      </c>
      <c r="B189" t="s">
        <v>86</v>
      </c>
      <c r="C189" s="1">
        <v>81</v>
      </c>
      <c r="D189" s="2">
        <v>45853</v>
      </c>
    </row>
    <row r="190" spans="1:4" x14ac:dyDescent="0.25">
      <c r="A190" t="s">
        <v>46</v>
      </c>
      <c r="B190" t="s">
        <v>42</v>
      </c>
      <c r="C190" s="1">
        <v>66</v>
      </c>
      <c r="D190" s="3">
        <v>44926</v>
      </c>
    </row>
    <row r="191" spans="1:4" x14ac:dyDescent="0.25">
      <c r="A191" t="s">
        <v>46</v>
      </c>
      <c r="B191" t="s">
        <v>42</v>
      </c>
      <c r="C191" s="1">
        <v>67</v>
      </c>
      <c r="D191" s="3">
        <v>45291</v>
      </c>
    </row>
    <row r="192" spans="1:4" x14ac:dyDescent="0.25">
      <c r="A192" t="s">
        <v>46</v>
      </c>
      <c r="B192" t="s">
        <v>42</v>
      </c>
      <c r="C192" s="1">
        <v>68</v>
      </c>
      <c r="D192" s="3">
        <v>45657</v>
      </c>
    </row>
    <row r="193" spans="1:4" x14ac:dyDescent="0.25">
      <c r="A193" t="s">
        <v>46</v>
      </c>
      <c r="B193" t="s">
        <v>42</v>
      </c>
      <c r="C193" s="1">
        <v>67</v>
      </c>
      <c r="D193" s="2">
        <v>45853</v>
      </c>
    </row>
    <row r="194" spans="1:4" x14ac:dyDescent="0.25">
      <c r="A194" t="s">
        <v>30</v>
      </c>
      <c r="B194" t="s">
        <v>21</v>
      </c>
      <c r="C194" s="1">
        <v>69</v>
      </c>
      <c r="D194" s="3">
        <v>44926</v>
      </c>
    </row>
    <row r="195" spans="1:4" x14ac:dyDescent="0.25">
      <c r="A195" t="s">
        <v>30</v>
      </c>
      <c r="B195" t="s">
        <v>21</v>
      </c>
      <c r="C195" s="1">
        <v>69</v>
      </c>
      <c r="D195" s="3">
        <v>45291</v>
      </c>
    </row>
    <row r="196" spans="1:4" x14ac:dyDescent="0.25">
      <c r="A196" t="s">
        <v>30</v>
      </c>
      <c r="B196" t="s">
        <v>21</v>
      </c>
      <c r="C196" s="1">
        <v>69</v>
      </c>
      <c r="D196" s="3">
        <v>45657</v>
      </c>
    </row>
    <row r="197" spans="1:4" x14ac:dyDescent="0.25">
      <c r="A197" t="s">
        <v>30</v>
      </c>
      <c r="B197" t="s">
        <v>21</v>
      </c>
      <c r="C197" s="1">
        <v>68</v>
      </c>
      <c r="D197" s="2">
        <v>45853</v>
      </c>
    </row>
    <row r="198" spans="1:4" x14ac:dyDescent="0.25">
      <c r="A198" t="s">
        <v>74</v>
      </c>
      <c r="B198" t="s">
        <v>64</v>
      </c>
      <c r="C198" s="1">
        <v>77</v>
      </c>
      <c r="D198" s="3">
        <v>44926</v>
      </c>
    </row>
    <row r="199" spans="1:4" x14ac:dyDescent="0.25">
      <c r="A199" t="s">
        <v>74</v>
      </c>
      <c r="B199" t="s">
        <v>64</v>
      </c>
      <c r="C199" s="1">
        <v>76</v>
      </c>
      <c r="D199" s="3">
        <v>45291</v>
      </c>
    </row>
    <row r="200" spans="1:4" x14ac:dyDescent="0.25">
      <c r="A200" t="s">
        <v>74</v>
      </c>
      <c r="B200" t="s">
        <v>64</v>
      </c>
      <c r="C200" s="1">
        <v>75</v>
      </c>
      <c r="D200" s="3">
        <v>45657</v>
      </c>
    </row>
    <row r="201" spans="1:4" x14ac:dyDescent="0.25">
      <c r="A201" t="s">
        <v>74</v>
      </c>
      <c r="B201" t="s">
        <v>64</v>
      </c>
      <c r="C201" s="1">
        <v>75</v>
      </c>
      <c r="D201" s="2">
        <v>45853</v>
      </c>
    </row>
    <row r="202" spans="1:4" x14ac:dyDescent="0.25">
      <c r="A202" t="s">
        <v>75</v>
      </c>
      <c r="B202" t="s">
        <v>64</v>
      </c>
      <c r="C202" s="1">
        <v>54</v>
      </c>
      <c r="D202" s="3">
        <v>44926</v>
      </c>
    </row>
    <row r="203" spans="1:4" x14ac:dyDescent="0.25">
      <c r="A203" t="s">
        <v>75</v>
      </c>
      <c r="B203" t="s">
        <v>64</v>
      </c>
      <c r="C203" s="1">
        <v>52</v>
      </c>
      <c r="D203" s="3">
        <v>45291</v>
      </c>
    </row>
    <row r="204" spans="1:4" x14ac:dyDescent="0.25">
      <c r="A204" t="s">
        <v>75</v>
      </c>
      <c r="B204" t="s">
        <v>64</v>
      </c>
      <c r="C204" s="1">
        <v>50</v>
      </c>
      <c r="D204" s="3">
        <v>45657</v>
      </c>
    </row>
    <row r="205" spans="1:4" x14ac:dyDescent="0.25">
      <c r="A205" t="s">
        <v>75</v>
      </c>
      <c r="B205" t="s">
        <v>64</v>
      </c>
      <c r="C205" s="1">
        <v>49</v>
      </c>
      <c r="D205" s="2">
        <v>45853</v>
      </c>
    </row>
    <row r="206" spans="1:4" x14ac:dyDescent="0.25">
      <c r="A206" t="s">
        <v>47</v>
      </c>
      <c r="B206" t="s">
        <v>42</v>
      </c>
      <c r="C206" s="1">
        <v>76</v>
      </c>
      <c r="D206" s="3">
        <v>44926</v>
      </c>
    </row>
    <row r="207" spans="1:4" x14ac:dyDescent="0.25">
      <c r="A207" t="s">
        <v>47</v>
      </c>
      <c r="B207" t="s">
        <v>42</v>
      </c>
      <c r="C207" s="1">
        <v>74</v>
      </c>
      <c r="D207" s="3">
        <v>45291</v>
      </c>
    </row>
    <row r="208" spans="1:4" x14ac:dyDescent="0.25">
      <c r="A208" t="s">
        <v>47</v>
      </c>
      <c r="B208" t="s">
        <v>42</v>
      </c>
      <c r="C208" s="1">
        <v>79</v>
      </c>
      <c r="D208" s="3">
        <v>45657</v>
      </c>
    </row>
    <row r="209" spans="1:4" x14ac:dyDescent="0.25">
      <c r="A209" t="s">
        <v>47</v>
      </c>
      <c r="B209" t="s">
        <v>42</v>
      </c>
      <c r="C209" s="1">
        <v>78</v>
      </c>
      <c r="D209" s="2">
        <v>45853</v>
      </c>
    </row>
    <row r="210" spans="1:4" x14ac:dyDescent="0.25">
      <c r="A210" t="s">
        <v>92</v>
      </c>
      <c r="B210" t="s">
        <v>86</v>
      </c>
      <c r="C210" s="1">
        <v>68</v>
      </c>
      <c r="D210" s="3">
        <v>44926</v>
      </c>
    </row>
    <row r="211" spans="1:4" x14ac:dyDescent="0.25">
      <c r="A211" t="s">
        <v>92</v>
      </c>
      <c r="B211" t="s">
        <v>86</v>
      </c>
      <c r="C211" s="1">
        <v>71</v>
      </c>
      <c r="D211" s="3">
        <v>45291</v>
      </c>
    </row>
    <row r="212" spans="1:4" x14ac:dyDescent="0.25">
      <c r="A212" t="s">
        <v>92</v>
      </c>
      <c r="B212" t="s">
        <v>86</v>
      </c>
      <c r="C212" s="1">
        <v>68</v>
      </c>
      <c r="D212" s="3">
        <v>45657</v>
      </c>
    </row>
    <row r="213" spans="1:4" x14ac:dyDescent="0.25">
      <c r="A213" t="s">
        <v>92</v>
      </c>
      <c r="B213" t="s">
        <v>86</v>
      </c>
      <c r="C213" s="1">
        <v>67</v>
      </c>
      <c r="D213" s="2">
        <v>45853</v>
      </c>
    </row>
    <row r="214" spans="1:4" x14ac:dyDescent="0.25">
      <c r="A214" t="s">
        <v>93</v>
      </c>
      <c r="B214" t="s">
        <v>86</v>
      </c>
      <c r="C214" s="1">
        <v>72</v>
      </c>
      <c r="D214" s="3">
        <v>44926</v>
      </c>
    </row>
    <row r="215" spans="1:4" x14ac:dyDescent="0.25">
      <c r="A215" t="s">
        <v>93</v>
      </c>
      <c r="B215" t="s">
        <v>86</v>
      </c>
      <c r="C215" s="1">
        <v>70</v>
      </c>
      <c r="D215" s="3">
        <v>45291</v>
      </c>
    </row>
    <row r="216" spans="1:4" x14ac:dyDescent="0.25">
      <c r="A216" t="s">
        <v>93</v>
      </c>
      <c r="B216" t="s">
        <v>86</v>
      </c>
      <c r="C216" s="1">
        <v>74</v>
      </c>
      <c r="D216" s="3">
        <v>45657</v>
      </c>
    </row>
    <row r="217" spans="1:4" x14ac:dyDescent="0.25">
      <c r="A217" t="s">
        <v>93</v>
      </c>
      <c r="B217" t="s">
        <v>86</v>
      </c>
      <c r="C217" s="1">
        <v>73</v>
      </c>
      <c r="D217" s="2">
        <v>45853</v>
      </c>
    </row>
    <row r="218" spans="1:4" x14ac:dyDescent="0.25">
      <c r="A218" t="s">
        <v>31</v>
      </c>
      <c r="B218" t="s">
        <v>21</v>
      </c>
      <c r="C218" s="1">
        <v>71</v>
      </c>
      <c r="D218" s="3">
        <v>44926</v>
      </c>
    </row>
    <row r="219" spans="1:4" x14ac:dyDescent="0.25">
      <c r="A219" t="s">
        <v>31</v>
      </c>
      <c r="B219" t="s">
        <v>21</v>
      </c>
      <c r="C219" s="1">
        <v>76</v>
      </c>
      <c r="D219" s="3">
        <v>45291</v>
      </c>
    </row>
    <row r="220" spans="1:4" x14ac:dyDescent="0.25">
      <c r="A220" t="s">
        <v>31</v>
      </c>
      <c r="B220" t="s">
        <v>21</v>
      </c>
      <c r="C220" s="1">
        <v>74</v>
      </c>
      <c r="D220" s="3">
        <v>45657</v>
      </c>
    </row>
    <row r="221" spans="1:4" x14ac:dyDescent="0.25">
      <c r="A221" t="s">
        <v>31</v>
      </c>
      <c r="B221" t="s">
        <v>21</v>
      </c>
      <c r="C221" s="1">
        <v>76</v>
      </c>
      <c r="D221" s="2">
        <v>45853</v>
      </c>
    </row>
    <row r="222" spans="1:4" x14ac:dyDescent="0.25">
      <c r="A222" t="s">
        <v>94</v>
      </c>
      <c r="B222" t="s">
        <v>86</v>
      </c>
      <c r="C222" s="1">
        <v>75</v>
      </c>
      <c r="D222" s="3">
        <v>44926</v>
      </c>
    </row>
    <row r="223" spans="1:4" x14ac:dyDescent="0.25">
      <c r="A223" t="s">
        <v>94</v>
      </c>
      <c r="B223" t="s">
        <v>86</v>
      </c>
      <c r="C223" s="1">
        <v>75</v>
      </c>
      <c r="D223" s="3">
        <v>45291</v>
      </c>
    </row>
    <row r="224" spans="1:4" x14ac:dyDescent="0.25">
      <c r="A224" t="s">
        <v>94</v>
      </c>
      <c r="B224" t="s">
        <v>86</v>
      </c>
      <c r="C224" s="1">
        <v>74</v>
      </c>
      <c r="D224" s="3">
        <v>45657</v>
      </c>
    </row>
    <row r="225" spans="1:4" x14ac:dyDescent="0.25">
      <c r="A225" t="s">
        <v>94</v>
      </c>
      <c r="B225" t="s">
        <v>86</v>
      </c>
      <c r="C225" s="1">
        <v>73</v>
      </c>
      <c r="D225" s="2">
        <v>45853</v>
      </c>
    </row>
    <row r="226" spans="1:4" x14ac:dyDescent="0.25">
      <c r="A226" t="s">
        <v>95</v>
      </c>
      <c r="B226" t="s">
        <v>86</v>
      </c>
      <c r="C226" s="1">
        <v>68</v>
      </c>
      <c r="D226" s="3">
        <v>44926</v>
      </c>
    </row>
    <row r="227" spans="1:4" x14ac:dyDescent="0.25">
      <c r="A227" t="s">
        <v>95</v>
      </c>
      <c r="B227" t="s">
        <v>86</v>
      </c>
      <c r="C227" s="1">
        <v>67</v>
      </c>
      <c r="D227" s="3">
        <v>45291</v>
      </c>
    </row>
    <row r="228" spans="1:4" x14ac:dyDescent="0.25">
      <c r="A228" t="s">
        <v>95</v>
      </c>
      <c r="B228" t="s">
        <v>86</v>
      </c>
      <c r="C228" s="1">
        <v>65</v>
      </c>
      <c r="D228" s="3">
        <v>45657</v>
      </c>
    </row>
    <row r="229" spans="1:4" x14ac:dyDescent="0.25">
      <c r="A229" t="s">
        <v>95</v>
      </c>
      <c r="B229" t="s">
        <v>86</v>
      </c>
      <c r="C229" s="1">
        <v>64</v>
      </c>
      <c r="D229" s="2">
        <v>45853</v>
      </c>
    </row>
    <row r="230" spans="1:4" x14ac:dyDescent="0.25">
      <c r="A230" t="s">
        <v>58</v>
      </c>
      <c r="B230" t="s">
        <v>55</v>
      </c>
      <c r="C230" s="1">
        <v>62</v>
      </c>
      <c r="D230" s="3">
        <v>44926</v>
      </c>
    </row>
    <row r="231" spans="1:4" x14ac:dyDescent="0.25">
      <c r="A231" t="s">
        <v>58</v>
      </c>
      <c r="B231" t="s">
        <v>55</v>
      </c>
      <c r="C231" s="1">
        <v>61</v>
      </c>
      <c r="D231" s="3">
        <v>45291</v>
      </c>
    </row>
    <row r="232" spans="1:4" x14ac:dyDescent="0.25">
      <c r="A232" t="s">
        <v>58</v>
      </c>
      <c r="B232" t="s">
        <v>55</v>
      </c>
      <c r="C232" s="1">
        <v>65</v>
      </c>
      <c r="D232" s="3">
        <v>45657</v>
      </c>
    </row>
    <row r="233" spans="1:4" x14ac:dyDescent="0.25">
      <c r="A233" t="s">
        <v>58</v>
      </c>
      <c r="B233" t="s">
        <v>55</v>
      </c>
      <c r="C233" s="1">
        <v>64</v>
      </c>
      <c r="D233" s="2">
        <v>45853</v>
      </c>
    </row>
    <row r="234" spans="1:4" x14ac:dyDescent="0.25">
      <c r="A234" t="s">
        <v>59</v>
      </c>
      <c r="B234" t="s">
        <v>55</v>
      </c>
      <c r="C234" s="1">
        <v>45</v>
      </c>
      <c r="D234" s="3">
        <v>44926</v>
      </c>
    </row>
    <row r="235" spans="1:4" x14ac:dyDescent="0.25">
      <c r="A235" t="s">
        <v>59</v>
      </c>
      <c r="B235" t="s">
        <v>55</v>
      </c>
      <c r="C235" s="1">
        <v>52</v>
      </c>
      <c r="D235" s="3">
        <v>45291</v>
      </c>
    </row>
    <row r="236" spans="1:4" x14ac:dyDescent="0.25">
      <c r="A236" t="s">
        <v>59</v>
      </c>
      <c r="B236" t="s">
        <v>55</v>
      </c>
      <c r="C236" s="1">
        <v>54</v>
      </c>
      <c r="D236" s="3">
        <v>45657</v>
      </c>
    </row>
    <row r="237" spans="1:4" x14ac:dyDescent="0.25">
      <c r="A237" t="s">
        <v>59</v>
      </c>
      <c r="B237" t="s">
        <v>55</v>
      </c>
      <c r="C237" s="1">
        <v>53</v>
      </c>
      <c r="D237" s="2">
        <v>45853</v>
      </c>
    </row>
    <row r="238" spans="1:4" x14ac:dyDescent="0.25">
      <c r="A238" t="s">
        <v>14</v>
      </c>
      <c r="B238" t="s">
        <v>5</v>
      </c>
      <c r="C238" s="1">
        <v>71</v>
      </c>
      <c r="D238" s="3">
        <v>44926</v>
      </c>
    </row>
    <row r="239" spans="1:4" x14ac:dyDescent="0.25">
      <c r="A239" t="s">
        <v>14</v>
      </c>
      <c r="B239" t="s">
        <v>5</v>
      </c>
      <c r="C239" s="1">
        <v>72</v>
      </c>
      <c r="D239" s="3">
        <v>45291</v>
      </c>
    </row>
    <row r="240" spans="1:4" x14ac:dyDescent="0.25">
      <c r="A240" t="s">
        <v>14</v>
      </c>
      <c r="B240" t="s">
        <v>5</v>
      </c>
      <c r="C240" s="1">
        <v>71</v>
      </c>
      <c r="D240" s="3">
        <v>45657</v>
      </c>
    </row>
    <row r="241" spans="1:4" x14ac:dyDescent="0.25">
      <c r="A241" t="s">
        <v>14</v>
      </c>
      <c r="B241" t="s">
        <v>5</v>
      </c>
      <c r="C241" s="1">
        <v>70</v>
      </c>
      <c r="D241" s="2">
        <v>45853</v>
      </c>
    </row>
    <row r="242" spans="1:4" x14ac:dyDescent="0.25">
      <c r="A242" t="s">
        <v>48</v>
      </c>
      <c r="B242" t="s">
        <v>42</v>
      </c>
      <c r="C242" s="1">
        <v>65</v>
      </c>
      <c r="D242" s="3">
        <v>44926</v>
      </c>
    </row>
    <row r="243" spans="1:4" x14ac:dyDescent="0.25">
      <c r="A243" t="s">
        <v>48</v>
      </c>
      <c r="B243" t="s">
        <v>42</v>
      </c>
      <c r="C243" s="1">
        <v>63</v>
      </c>
      <c r="D243" s="3">
        <v>45291</v>
      </c>
    </row>
    <row r="244" spans="1:4" x14ac:dyDescent="0.25">
      <c r="A244" t="s">
        <v>48</v>
      </c>
      <c r="B244" t="s">
        <v>42</v>
      </c>
      <c r="C244" s="1">
        <v>62</v>
      </c>
      <c r="D244" s="3">
        <v>45657</v>
      </c>
    </row>
    <row r="245" spans="1:4" x14ac:dyDescent="0.25">
      <c r="A245" t="s">
        <v>48</v>
      </c>
      <c r="B245" t="s">
        <v>42</v>
      </c>
      <c r="C245" s="1">
        <v>60</v>
      </c>
      <c r="D245" s="2">
        <v>45853</v>
      </c>
    </row>
    <row r="246" spans="1:4" x14ac:dyDescent="0.25">
      <c r="A246" t="s">
        <v>15</v>
      </c>
      <c r="B246" t="s">
        <v>5</v>
      </c>
      <c r="C246" s="1">
        <v>57</v>
      </c>
      <c r="D246" s="3">
        <v>44926</v>
      </c>
    </row>
    <row r="247" spans="1:4" x14ac:dyDescent="0.25">
      <c r="A247" t="s">
        <v>15</v>
      </c>
      <c r="B247" t="s">
        <v>5</v>
      </c>
      <c r="C247" s="1">
        <v>56</v>
      </c>
      <c r="D247" s="3">
        <v>45291</v>
      </c>
    </row>
    <row r="248" spans="1:4" x14ac:dyDescent="0.25">
      <c r="A248" t="s">
        <v>15</v>
      </c>
      <c r="B248" t="s">
        <v>5</v>
      </c>
      <c r="C248" s="1">
        <v>60</v>
      </c>
      <c r="D248" s="3">
        <v>45657</v>
      </c>
    </row>
    <row r="249" spans="1:4" x14ac:dyDescent="0.25">
      <c r="A249" t="s">
        <v>15</v>
      </c>
      <c r="B249" t="s">
        <v>5</v>
      </c>
      <c r="C249" s="1">
        <v>59</v>
      </c>
      <c r="D249" s="2">
        <v>45853</v>
      </c>
    </row>
    <row r="250" spans="1:4" x14ac:dyDescent="0.25">
      <c r="A250" t="s">
        <v>32</v>
      </c>
      <c r="B250" t="s">
        <v>21</v>
      </c>
      <c r="C250" s="1">
        <v>71</v>
      </c>
      <c r="D250" s="3">
        <v>44926</v>
      </c>
    </row>
    <row r="251" spans="1:4" x14ac:dyDescent="0.25">
      <c r="A251" t="s">
        <v>32</v>
      </c>
      <c r="B251" t="s">
        <v>21</v>
      </c>
      <c r="C251" s="1">
        <v>70</v>
      </c>
      <c r="D251" s="3">
        <v>45291</v>
      </c>
    </row>
    <row r="252" spans="1:4" x14ac:dyDescent="0.25">
      <c r="A252" t="s">
        <v>32</v>
      </c>
      <c r="B252" t="s">
        <v>21</v>
      </c>
      <c r="C252" s="1">
        <v>68</v>
      </c>
      <c r="D252" s="3">
        <v>45657</v>
      </c>
    </row>
    <row r="253" spans="1:4" x14ac:dyDescent="0.25">
      <c r="A253" t="s">
        <v>32</v>
      </c>
      <c r="B253" t="s">
        <v>21</v>
      </c>
      <c r="C253" s="1">
        <v>67</v>
      </c>
      <c r="D253" s="2">
        <v>45853</v>
      </c>
    </row>
    <row r="254" spans="1:4" x14ac:dyDescent="0.25">
      <c r="A254" t="s">
        <v>33</v>
      </c>
      <c r="B254" t="s">
        <v>21</v>
      </c>
      <c r="C254" s="1">
        <v>84</v>
      </c>
      <c r="D254" s="3">
        <v>44926</v>
      </c>
    </row>
    <row r="255" spans="1:4" x14ac:dyDescent="0.25">
      <c r="A255" t="s">
        <v>33</v>
      </c>
      <c r="B255" t="s">
        <v>21</v>
      </c>
      <c r="C255" s="1">
        <v>82</v>
      </c>
      <c r="D255" s="3">
        <v>45291</v>
      </c>
    </row>
    <row r="256" spans="1:4" x14ac:dyDescent="0.25">
      <c r="A256" t="s">
        <v>33</v>
      </c>
      <c r="B256" t="s">
        <v>21</v>
      </c>
      <c r="C256" s="1">
        <v>80</v>
      </c>
      <c r="D256" s="3">
        <v>45657</v>
      </c>
    </row>
    <row r="257" spans="1:4" x14ac:dyDescent="0.25">
      <c r="A257" t="s">
        <v>33</v>
      </c>
      <c r="B257" t="s">
        <v>21</v>
      </c>
      <c r="C257" s="1">
        <v>80</v>
      </c>
      <c r="D257" s="2">
        <v>45853</v>
      </c>
    </row>
    <row r="258" spans="1:4" x14ac:dyDescent="0.25">
      <c r="A258" t="s">
        <v>76</v>
      </c>
      <c r="B258" t="s">
        <v>64</v>
      </c>
      <c r="C258" s="1">
        <v>49</v>
      </c>
      <c r="D258" s="3">
        <v>44926</v>
      </c>
    </row>
    <row r="259" spans="1:4" x14ac:dyDescent="0.25">
      <c r="A259" t="s">
        <v>76</v>
      </c>
      <c r="B259" t="s">
        <v>64</v>
      </c>
      <c r="C259" s="1">
        <v>50</v>
      </c>
      <c r="D259" s="3">
        <v>45291</v>
      </c>
    </row>
    <row r="260" spans="1:4" x14ac:dyDescent="0.25">
      <c r="A260" t="s">
        <v>76</v>
      </c>
      <c r="B260" t="s">
        <v>64</v>
      </c>
      <c r="C260" s="1">
        <v>50</v>
      </c>
      <c r="D260" s="3">
        <v>45657</v>
      </c>
    </row>
    <row r="261" spans="1:4" x14ac:dyDescent="0.25">
      <c r="A261" t="s">
        <v>76</v>
      </c>
      <c r="B261" t="s">
        <v>64</v>
      </c>
      <c r="C261" s="1">
        <v>49</v>
      </c>
      <c r="D261" s="2">
        <v>45853</v>
      </c>
    </row>
    <row r="262" spans="1:4" x14ac:dyDescent="0.25">
      <c r="A262" t="s">
        <v>96</v>
      </c>
      <c r="B262" t="s">
        <v>86</v>
      </c>
      <c r="C262" s="1">
        <v>83</v>
      </c>
      <c r="D262" s="3">
        <v>44926</v>
      </c>
    </row>
    <row r="263" spans="1:4" x14ac:dyDescent="0.25">
      <c r="A263" t="s">
        <v>96</v>
      </c>
      <c r="B263" t="s">
        <v>86</v>
      </c>
      <c r="C263" s="1">
        <v>84</v>
      </c>
      <c r="D263" s="3">
        <v>45291</v>
      </c>
    </row>
    <row r="264" spans="1:4" x14ac:dyDescent="0.25">
      <c r="A264" t="s">
        <v>96</v>
      </c>
      <c r="B264" t="s">
        <v>86</v>
      </c>
      <c r="C264" s="1">
        <v>83</v>
      </c>
      <c r="D264" s="3">
        <v>45657</v>
      </c>
    </row>
    <row r="265" spans="1:4" x14ac:dyDescent="0.25">
      <c r="A265" t="s">
        <v>96</v>
      </c>
      <c r="B265" t="s">
        <v>86</v>
      </c>
      <c r="C265" s="1">
        <v>82</v>
      </c>
      <c r="D265" s="2">
        <v>45853</v>
      </c>
    </row>
    <row r="266" spans="1:4" x14ac:dyDescent="0.25">
      <c r="A266" t="s">
        <v>115</v>
      </c>
      <c r="B266" t="s">
        <v>112</v>
      </c>
      <c r="C266" s="1">
        <v>43</v>
      </c>
      <c r="D266" s="3">
        <v>44926</v>
      </c>
    </row>
    <row r="267" spans="1:4" x14ac:dyDescent="0.25">
      <c r="A267" t="s">
        <v>115</v>
      </c>
      <c r="B267" t="s">
        <v>112</v>
      </c>
      <c r="C267" s="1">
        <v>55</v>
      </c>
      <c r="D267" s="3">
        <v>45291</v>
      </c>
    </row>
    <row r="268" spans="1:4" x14ac:dyDescent="0.25">
      <c r="A268" t="s">
        <v>115</v>
      </c>
      <c r="B268" t="s">
        <v>112</v>
      </c>
      <c r="C268" s="1">
        <v>52</v>
      </c>
      <c r="D268" s="3">
        <v>45657</v>
      </c>
    </row>
    <row r="269" spans="1:4" x14ac:dyDescent="0.25">
      <c r="A269" t="s">
        <v>115</v>
      </c>
      <c r="B269" t="s">
        <v>112</v>
      </c>
      <c r="C269" s="1">
        <v>51</v>
      </c>
      <c r="D269" s="2">
        <v>45853</v>
      </c>
    </row>
    <row r="270" spans="1:4" x14ac:dyDescent="0.25">
      <c r="A270" t="s">
        <v>16</v>
      </c>
      <c r="B270" t="s">
        <v>5</v>
      </c>
      <c r="C270" s="1">
        <v>64</v>
      </c>
      <c r="D270" s="3">
        <v>44926</v>
      </c>
    </row>
    <row r="271" spans="1:4" x14ac:dyDescent="0.25">
      <c r="A271" t="s">
        <v>16</v>
      </c>
      <c r="B271" t="s">
        <v>5</v>
      </c>
      <c r="C271" s="1">
        <v>62</v>
      </c>
      <c r="D271" s="3">
        <v>45291</v>
      </c>
    </row>
    <row r="272" spans="1:4" x14ac:dyDescent="0.25">
      <c r="A272" t="s">
        <v>16</v>
      </c>
      <c r="B272" t="s">
        <v>5</v>
      </c>
      <c r="C272" s="1">
        <v>60</v>
      </c>
      <c r="D272" s="3">
        <v>45657</v>
      </c>
    </row>
    <row r="273" spans="1:4" x14ac:dyDescent="0.25">
      <c r="A273" t="s">
        <v>16</v>
      </c>
      <c r="B273" t="s">
        <v>5</v>
      </c>
      <c r="C273" s="1">
        <v>59</v>
      </c>
      <c r="D273" s="2">
        <v>45853</v>
      </c>
    </row>
    <row r="274" spans="1:4" x14ac:dyDescent="0.25">
      <c r="A274" t="s">
        <v>34</v>
      </c>
      <c r="B274" t="s">
        <v>21</v>
      </c>
      <c r="C274" s="1">
        <v>55</v>
      </c>
      <c r="D274" s="3">
        <v>44926</v>
      </c>
    </row>
    <row r="275" spans="1:4" x14ac:dyDescent="0.25">
      <c r="A275" t="s">
        <v>34</v>
      </c>
      <c r="B275" t="s">
        <v>21</v>
      </c>
      <c r="C275" s="1">
        <v>56</v>
      </c>
      <c r="D275" s="3">
        <v>45291</v>
      </c>
    </row>
    <row r="276" spans="1:4" x14ac:dyDescent="0.25">
      <c r="A276" t="s">
        <v>34</v>
      </c>
      <c r="B276" t="s">
        <v>21</v>
      </c>
      <c r="C276" s="1">
        <v>53</v>
      </c>
      <c r="D276" s="3">
        <v>45657</v>
      </c>
    </row>
    <row r="277" spans="1:4" x14ac:dyDescent="0.25">
      <c r="A277" t="s">
        <v>34</v>
      </c>
      <c r="B277" t="s">
        <v>21</v>
      </c>
      <c r="C277" s="1">
        <v>52</v>
      </c>
      <c r="D277" s="2">
        <v>45853</v>
      </c>
    </row>
    <row r="278" spans="1:4" x14ac:dyDescent="0.25">
      <c r="A278" t="s">
        <v>35</v>
      </c>
      <c r="B278" t="s">
        <v>21</v>
      </c>
      <c r="C278" s="1">
        <v>59</v>
      </c>
      <c r="D278" s="3">
        <v>44926</v>
      </c>
    </row>
    <row r="279" spans="1:4" x14ac:dyDescent="0.25">
      <c r="A279" t="s">
        <v>35</v>
      </c>
      <c r="B279" t="s">
        <v>21</v>
      </c>
      <c r="C279" s="1">
        <v>59</v>
      </c>
      <c r="D279" s="3">
        <v>45291</v>
      </c>
    </row>
    <row r="280" spans="1:4" x14ac:dyDescent="0.25">
      <c r="A280" t="s">
        <v>35</v>
      </c>
      <c r="B280" t="s">
        <v>21</v>
      </c>
      <c r="C280" s="1">
        <v>60</v>
      </c>
      <c r="D280" s="3">
        <v>45657</v>
      </c>
    </row>
    <row r="281" spans="1:4" x14ac:dyDescent="0.25">
      <c r="A281" t="s">
        <v>35</v>
      </c>
      <c r="B281" t="s">
        <v>21</v>
      </c>
      <c r="C281" s="1">
        <v>59</v>
      </c>
      <c r="D281" s="2">
        <v>45853</v>
      </c>
    </row>
    <row r="282" spans="1:4" x14ac:dyDescent="0.25">
      <c r="A282" t="s">
        <v>36</v>
      </c>
      <c r="B282" t="s">
        <v>21</v>
      </c>
      <c r="C282" s="1">
        <v>73</v>
      </c>
      <c r="D282" s="3">
        <v>44926</v>
      </c>
    </row>
    <row r="283" spans="1:4" x14ac:dyDescent="0.25">
      <c r="A283" t="s">
        <v>36</v>
      </c>
      <c r="B283" t="s">
        <v>21</v>
      </c>
      <c r="C283" s="1">
        <v>71</v>
      </c>
      <c r="D283" s="3">
        <v>45291</v>
      </c>
    </row>
    <row r="284" spans="1:4" x14ac:dyDescent="0.25">
      <c r="A284" t="s">
        <v>36</v>
      </c>
      <c r="B284" t="s">
        <v>21</v>
      </c>
      <c r="C284" s="1">
        <v>71</v>
      </c>
      <c r="D284" s="3">
        <v>45657</v>
      </c>
    </row>
    <row r="285" spans="1:4" x14ac:dyDescent="0.25">
      <c r="A285" t="s">
        <v>36</v>
      </c>
      <c r="B285" t="s">
        <v>21</v>
      </c>
      <c r="C285" s="1">
        <v>69</v>
      </c>
      <c r="D285" s="2">
        <v>45853</v>
      </c>
    </row>
    <row r="286" spans="1:4" x14ac:dyDescent="0.25">
      <c r="A286" t="s">
        <v>17</v>
      </c>
      <c r="B286" t="s">
        <v>5</v>
      </c>
      <c r="C286" s="1">
        <v>77</v>
      </c>
      <c r="D286" s="3">
        <v>44926</v>
      </c>
    </row>
    <row r="287" spans="1:4" x14ac:dyDescent="0.25">
      <c r="A287" t="s">
        <v>17</v>
      </c>
      <c r="B287" t="s">
        <v>5</v>
      </c>
      <c r="C287" s="1">
        <v>76</v>
      </c>
      <c r="D287" s="3">
        <v>45291</v>
      </c>
    </row>
    <row r="288" spans="1:4" x14ac:dyDescent="0.25">
      <c r="A288" t="s">
        <v>17</v>
      </c>
      <c r="B288" t="s">
        <v>5</v>
      </c>
      <c r="C288" s="1">
        <v>76</v>
      </c>
      <c r="D288" s="3">
        <v>45657</v>
      </c>
    </row>
    <row r="289" spans="1:4" x14ac:dyDescent="0.25">
      <c r="A289" t="s">
        <v>17</v>
      </c>
      <c r="B289" t="s">
        <v>5</v>
      </c>
      <c r="C289" s="1">
        <v>75</v>
      </c>
      <c r="D289" s="2">
        <v>45853</v>
      </c>
    </row>
    <row r="290" spans="1:4" x14ac:dyDescent="0.25">
      <c r="A290" t="s">
        <v>77</v>
      </c>
      <c r="B290" t="s">
        <v>64</v>
      </c>
      <c r="C290" s="1">
        <v>77</v>
      </c>
      <c r="D290" s="3">
        <v>44926</v>
      </c>
    </row>
    <row r="291" spans="1:4" x14ac:dyDescent="0.25">
      <c r="A291" t="s">
        <v>77</v>
      </c>
      <c r="B291" t="s">
        <v>64</v>
      </c>
      <c r="C291" s="1">
        <v>76</v>
      </c>
      <c r="D291" s="3">
        <v>45291</v>
      </c>
    </row>
    <row r="292" spans="1:4" x14ac:dyDescent="0.25">
      <c r="A292" t="s">
        <v>77</v>
      </c>
      <c r="B292" t="s">
        <v>64</v>
      </c>
      <c r="C292" s="1">
        <v>75</v>
      </c>
      <c r="D292" s="3">
        <v>45657</v>
      </c>
    </row>
    <row r="293" spans="1:4" x14ac:dyDescent="0.25">
      <c r="A293" t="s">
        <v>77</v>
      </c>
      <c r="B293" t="s">
        <v>64</v>
      </c>
      <c r="C293" s="1">
        <v>74</v>
      </c>
      <c r="D293" s="2">
        <v>45853</v>
      </c>
    </row>
    <row r="294" spans="1:4" x14ac:dyDescent="0.25">
      <c r="A294" t="s">
        <v>78</v>
      </c>
      <c r="B294" t="s">
        <v>64</v>
      </c>
      <c r="C294" s="1">
        <v>69</v>
      </c>
      <c r="D294" s="3">
        <v>44926</v>
      </c>
    </row>
    <row r="295" spans="1:4" x14ac:dyDescent="0.25">
      <c r="A295" t="s">
        <v>78</v>
      </c>
      <c r="B295" t="s">
        <v>64</v>
      </c>
      <c r="C295" s="1">
        <v>68</v>
      </c>
      <c r="D295" s="3">
        <v>45291</v>
      </c>
    </row>
    <row r="296" spans="1:4" x14ac:dyDescent="0.25">
      <c r="A296" t="s">
        <v>78</v>
      </c>
      <c r="B296" t="s">
        <v>64</v>
      </c>
      <c r="C296" s="1">
        <v>68</v>
      </c>
      <c r="D296" s="3">
        <v>45657</v>
      </c>
    </row>
    <row r="297" spans="1:4" x14ac:dyDescent="0.25">
      <c r="A297" t="s">
        <v>78</v>
      </c>
      <c r="B297" t="s">
        <v>64</v>
      </c>
      <c r="C297" s="1">
        <v>67</v>
      </c>
      <c r="D297" s="2">
        <v>45853</v>
      </c>
    </row>
    <row r="298" spans="1:4" x14ac:dyDescent="0.25">
      <c r="A298" t="s">
        <v>37</v>
      </c>
      <c r="B298" t="s">
        <v>21</v>
      </c>
      <c r="C298" s="1">
        <v>57</v>
      </c>
      <c r="D298" s="3">
        <v>44926</v>
      </c>
    </row>
    <row r="299" spans="1:4" x14ac:dyDescent="0.25">
      <c r="A299" t="s">
        <v>37</v>
      </c>
      <c r="B299" t="s">
        <v>21</v>
      </c>
      <c r="C299" s="1">
        <v>61</v>
      </c>
      <c r="D299" s="3">
        <v>45291</v>
      </c>
    </row>
    <row r="300" spans="1:4" x14ac:dyDescent="0.25">
      <c r="A300" t="s">
        <v>37</v>
      </c>
      <c r="B300" t="s">
        <v>21</v>
      </c>
      <c r="C300" s="1">
        <v>60</v>
      </c>
      <c r="D300" s="3">
        <v>45657</v>
      </c>
    </row>
    <row r="301" spans="1:4" x14ac:dyDescent="0.25">
      <c r="A301" t="s">
        <v>37</v>
      </c>
      <c r="B301" t="s">
        <v>21</v>
      </c>
      <c r="C301" s="1">
        <v>59</v>
      </c>
      <c r="D301" s="2">
        <v>45853</v>
      </c>
    </row>
    <row r="302" spans="1:4" x14ac:dyDescent="0.25">
      <c r="A302" t="s">
        <v>106</v>
      </c>
      <c r="B302" t="s">
        <v>103</v>
      </c>
      <c r="C302" s="1">
        <v>61</v>
      </c>
      <c r="D302" s="3">
        <v>44926</v>
      </c>
    </row>
    <row r="303" spans="1:4" x14ac:dyDescent="0.25">
      <c r="A303" t="s">
        <v>106</v>
      </c>
      <c r="B303" t="s">
        <v>103</v>
      </c>
      <c r="C303" s="1">
        <v>59</v>
      </c>
      <c r="D303" s="3">
        <v>45291</v>
      </c>
    </row>
    <row r="304" spans="1:4" x14ac:dyDescent="0.25">
      <c r="A304" t="s">
        <v>106</v>
      </c>
      <c r="B304" t="s">
        <v>103</v>
      </c>
      <c r="C304" s="1">
        <v>59</v>
      </c>
      <c r="D304" s="3">
        <v>45657</v>
      </c>
    </row>
    <row r="305" spans="1:4" x14ac:dyDescent="0.25">
      <c r="A305" t="s">
        <v>106</v>
      </c>
      <c r="B305" t="s">
        <v>103</v>
      </c>
      <c r="C305" s="1">
        <v>57</v>
      </c>
      <c r="D305" s="2">
        <v>45853</v>
      </c>
    </row>
    <row r="306" spans="1:4" x14ac:dyDescent="0.25">
      <c r="A306" t="s">
        <v>116</v>
      </c>
      <c r="B306" t="s">
        <v>112</v>
      </c>
      <c r="C306" s="1">
        <v>66</v>
      </c>
      <c r="D306" s="3">
        <v>44926</v>
      </c>
    </row>
    <row r="307" spans="1:4" x14ac:dyDescent="0.25">
      <c r="A307" t="s">
        <v>116</v>
      </c>
      <c r="B307" t="s">
        <v>112</v>
      </c>
      <c r="C307" s="1">
        <v>66</v>
      </c>
      <c r="D307" s="3">
        <v>45291</v>
      </c>
    </row>
    <row r="308" spans="1:4" x14ac:dyDescent="0.25">
      <c r="A308" t="s">
        <v>116</v>
      </c>
      <c r="B308" t="s">
        <v>112</v>
      </c>
      <c r="C308" s="1">
        <v>64</v>
      </c>
      <c r="D308" s="3">
        <v>45657</v>
      </c>
    </row>
    <row r="309" spans="1:4" x14ac:dyDescent="0.25">
      <c r="A309" t="s">
        <v>116</v>
      </c>
      <c r="B309" t="s">
        <v>112</v>
      </c>
      <c r="C309" s="1">
        <v>63</v>
      </c>
      <c r="D309" s="2">
        <v>45853</v>
      </c>
    </row>
    <row r="310" spans="1:4" x14ac:dyDescent="0.25">
      <c r="A310" t="s">
        <v>49</v>
      </c>
      <c r="B310" t="s">
        <v>42</v>
      </c>
      <c r="C310" s="1">
        <v>77</v>
      </c>
      <c r="D310" s="3">
        <v>44926</v>
      </c>
    </row>
    <row r="311" spans="1:4" x14ac:dyDescent="0.25">
      <c r="A311" t="s">
        <v>49</v>
      </c>
      <c r="B311" t="s">
        <v>42</v>
      </c>
      <c r="C311" s="1">
        <v>75</v>
      </c>
      <c r="D311" s="3">
        <v>45291</v>
      </c>
    </row>
    <row r="312" spans="1:4" x14ac:dyDescent="0.25">
      <c r="A312" t="s">
        <v>49</v>
      </c>
      <c r="B312" t="s">
        <v>42</v>
      </c>
      <c r="C312" s="1">
        <v>73</v>
      </c>
      <c r="D312" s="3">
        <v>45657</v>
      </c>
    </row>
    <row r="313" spans="1:4" x14ac:dyDescent="0.25">
      <c r="A313" t="s">
        <v>49</v>
      </c>
      <c r="B313" t="s">
        <v>42</v>
      </c>
      <c r="C313" s="1">
        <v>72</v>
      </c>
      <c r="D313" s="2">
        <v>45853</v>
      </c>
    </row>
    <row r="314" spans="1:4" x14ac:dyDescent="0.25">
      <c r="A314" t="s">
        <v>50</v>
      </c>
      <c r="B314" t="s">
        <v>42</v>
      </c>
      <c r="C314" s="1">
        <v>70</v>
      </c>
      <c r="D314" s="3">
        <v>44926</v>
      </c>
    </row>
    <row r="315" spans="1:4" x14ac:dyDescent="0.25">
      <c r="A315" t="s">
        <v>50</v>
      </c>
      <c r="B315" t="s">
        <v>42</v>
      </c>
      <c r="C315" s="1">
        <v>72</v>
      </c>
      <c r="D315" s="3">
        <v>45291</v>
      </c>
    </row>
    <row r="316" spans="1:4" x14ac:dyDescent="0.25">
      <c r="A316" t="s">
        <v>50</v>
      </c>
      <c r="B316" t="s">
        <v>42</v>
      </c>
      <c r="C316" s="1">
        <v>74</v>
      </c>
      <c r="D316" s="3">
        <v>45657</v>
      </c>
    </row>
    <row r="317" spans="1:4" x14ac:dyDescent="0.25">
      <c r="A317" t="s">
        <v>50</v>
      </c>
      <c r="B317" t="s">
        <v>42</v>
      </c>
      <c r="C317" s="1">
        <v>73</v>
      </c>
      <c r="D317" s="2">
        <v>45853</v>
      </c>
    </row>
    <row r="318" spans="1:4" x14ac:dyDescent="0.25">
      <c r="A318" t="s">
        <v>79</v>
      </c>
      <c r="B318" t="s">
        <v>64</v>
      </c>
      <c r="C318" s="1">
        <v>61</v>
      </c>
      <c r="D318" s="3">
        <v>44926</v>
      </c>
    </row>
    <row r="319" spans="1:4" x14ac:dyDescent="0.25">
      <c r="A319" t="s">
        <v>79</v>
      </c>
      <c r="B319" t="s">
        <v>64</v>
      </c>
      <c r="C319" s="1">
        <v>63</v>
      </c>
      <c r="D319" s="3">
        <v>45291</v>
      </c>
    </row>
    <row r="320" spans="1:4" x14ac:dyDescent="0.25">
      <c r="A320" t="s">
        <v>79</v>
      </c>
      <c r="B320" t="s">
        <v>64</v>
      </c>
      <c r="C320" s="1">
        <v>63</v>
      </c>
      <c r="D320" s="3">
        <v>45657</v>
      </c>
    </row>
    <row r="321" spans="1:4" x14ac:dyDescent="0.25">
      <c r="A321" t="s">
        <v>79</v>
      </c>
      <c r="B321" t="s">
        <v>64</v>
      </c>
      <c r="C321" s="1">
        <v>65</v>
      </c>
      <c r="D321" s="2">
        <v>45853</v>
      </c>
    </row>
    <row r="322" spans="1:4" x14ac:dyDescent="0.25">
      <c r="A322" t="s">
        <v>80</v>
      </c>
      <c r="B322" t="s">
        <v>64</v>
      </c>
      <c r="C322" s="1">
        <v>57</v>
      </c>
      <c r="D322" s="3">
        <v>44926</v>
      </c>
    </row>
    <row r="323" spans="1:4" x14ac:dyDescent="0.25">
      <c r="A323" t="s">
        <v>80</v>
      </c>
      <c r="B323" t="s">
        <v>64</v>
      </c>
      <c r="C323" s="1">
        <v>57</v>
      </c>
      <c r="D323" s="3">
        <v>45291</v>
      </c>
    </row>
    <row r="324" spans="1:4" x14ac:dyDescent="0.25">
      <c r="A324" t="s">
        <v>80</v>
      </c>
      <c r="B324" t="s">
        <v>64</v>
      </c>
      <c r="C324" s="1">
        <v>56</v>
      </c>
      <c r="D324" s="3">
        <v>45657</v>
      </c>
    </row>
    <row r="325" spans="1:4" x14ac:dyDescent="0.25">
      <c r="A325" t="s">
        <v>80</v>
      </c>
      <c r="B325" t="s">
        <v>64</v>
      </c>
      <c r="C325" s="1">
        <v>55</v>
      </c>
      <c r="D325" s="2">
        <v>45853</v>
      </c>
    </row>
    <row r="326" spans="1:4" x14ac:dyDescent="0.25">
      <c r="A326" t="s">
        <v>61</v>
      </c>
      <c r="B326" t="s">
        <v>62</v>
      </c>
      <c r="C326" s="1">
        <v>74</v>
      </c>
      <c r="D326" s="3">
        <v>44926</v>
      </c>
    </row>
    <row r="327" spans="1:4" x14ac:dyDescent="0.25">
      <c r="A327" t="s">
        <v>61</v>
      </c>
      <c r="B327" t="s">
        <v>62</v>
      </c>
      <c r="C327" s="1">
        <v>75</v>
      </c>
      <c r="D327" s="3">
        <v>45291</v>
      </c>
    </row>
    <row r="328" spans="1:4" x14ac:dyDescent="0.25">
      <c r="A328" t="s">
        <v>61</v>
      </c>
      <c r="B328" t="s">
        <v>62</v>
      </c>
      <c r="C328" s="1">
        <v>75</v>
      </c>
      <c r="D328" s="3">
        <v>45657</v>
      </c>
    </row>
    <row r="329" spans="1:4" x14ac:dyDescent="0.25">
      <c r="A329" t="s">
        <v>61</v>
      </c>
      <c r="B329" t="s">
        <v>62</v>
      </c>
      <c r="C329" s="1">
        <v>75</v>
      </c>
      <c r="D329" s="2">
        <v>45853</v>
      </c>
    </row>
    <row r="330" spans="1:4" x14ac:dyDescent="0.25">
      <c r="A330" t="s">
        <v>97</v>
      </c>
      <c r="B330" t="s">
        <v>86</v>
      </c>
      <c r="C330" s="1">
        <v>71</v>
      </c>
      <c r="D330" s="3">
        <v>44926</v>
      </c>
    </row>
    <row r="331" spans="1:4" x14ac:dyDescent="0.25">
      <c r="A331" t="s">
        <v>97</v>
      </c>
      <c r="B331" t="s">
        <v>86</v>
      </c>
      <c r="C331" s="1">
        <v>73</v>
      </c>
      <c r="D331" s="3">
        <v>45291</v>
      </c>
    </row>
    <row r="332" spans="1:4" x14ac:dyDescent="0.25">
      <c r="A332" t="s">
        <v>97</v>
      </c>
      <c r="B332" t="s">
        <v>86</v>
      </c>
      <c r="C332" s="1">
        <v>74</v>
      </c>
      <c r="D332" s="3">
        <v>45657</v>
      </c>
    </row>
    <row r="333" spans="1:4" x14ac:dyDescent="0.25">
      <c r="A333" t="s">
        <v>97</v>
      </c>
      <c r="B333" t="s">
        <v>86</v>
      </c>
      <c r="C333" s="1">
        <v>71</v>
      </c>
      <c r="D333" s="2">
        <v>45853</v>
      </c>
    </row>
    <row r="334" spans="1:4" x14ac:dyDescent="0.25">
      <c r="A334" t="s">
        <v>18</v>
      </c>
      <c r="B334" t="s">
        <v>5</v>
      </c>
      <c r="C334" s="1">
        <v>55</v>
      </c>
      <c r="D334" s="3">
        <v>44926</v>
      </c>
    </row>
    <row r="335" spans="1:4" x14ac:dyDescent="0.25">
      <c r="A335" t="s">
        <v>18</v>
      </c>
      <c r="B335" t="s">
        <v>5</v>
      </c>
      <c r="C335" s="1">
        <v>58</v>
      </c>
      <c r="D335" s="3">
        <v>45291</v>
      </c>
    </row>
    <row r="336" spans="1:4" x14ac:dyDescent="0.25">
      <c r="A336" t="s">
        <v>18</v>
      </c>
      <c r="B336" t="s">
        <v>5</v>
      </c>
      <c r="C336" s="1">
        <v>57</v>
      </c>
      <c r="D336" s="3">
        <v>45657</v>
      </c>
    </row>
    <row r="337" spans="1:4" x14ac:dyDescent="0.25">
      <c r="A337" t="s">
        <v>18</v>
      </c>
      <c r="B337" t="s">
        <v>5</v>
      </c>
      <c r="C337" s="1">
        <v>56</v>
      </c>
      <c r="D337" s="2">
        <v>45853</v>
      </c>
    </row>
    <row r="338" spans="1:4" x14ac:dyDescent="0.25">
      <c r="A338" t="s">
        <v>81</v>
      </c>
      <c r="B338" t="s">
        <v>64</v>
      </c>
      <c r="C338" s="1">
        <v>70</v>
      </c>
      <c r="D338" s="3">
        <v>44926</v>
      </c>
    </row>
    <row r="339" spans="1:4" x14ac:dyDescent="0.25">
      <c r="A339" t="s">
        <v>81</v>
      </c>
      <c r="B339" t="s">
        <v>64</v>
      </c>
      <c r="C339" s="1">
        <v>73</v>
      </c>
      <c r="D339" s="3">
        <v>45291</v>
      </c>
    </row>
    <row r="340" spans="1:4" x14ac:dyDescent="0.25">
      <c r="A340" t="s">
        <v>81</v>
      </c>
      <c r="B340" t="s">
        <v>64</v>
      </c>
      <c r="C340" s="1">
        <v>72</v>
      </c>
      <c r="D340" s="3">
        <v>45657</v>
      </c>
    </row>
    <row r="341" spans="1:4" x14ac:dyDescent="0.25">
      <c r="A341" t="s">
        <v>81</v>
      </c>
      <c r="B341" t="s">
        <v>64</v>
      </c>
      <c r="C341" s="1">
        <v>71</v>
      </c>
      <c r="D341" s="2">
        <v>45853</v>
      </c>
    </row>
    <row r="342" spans="1:4" x14ac:dyDescent="0.25">
      <c r="A342" t="s">
        <v>82</v>
      </c>
      <c r="B342" t="s">
        <v>64</v>
      </c>
      <c r="C342" s="1">
        <v>76</v>
      </c>
      <c r="D342" s="3">
        <v>44926</v>
      </c>
    </row>
    <row r="343" spans="1:4" x14ac:dyDescent="0.25">
      <c r="A343" t="s">
        <v>82</v>
      </c>
      <c r="B343" t="s">
        <v>64</v>
      </c>
      <c r="C343" s="1">
        <v>74</v>
      </c>
      <c r="D343" s="3">
        <v>45291</v>
      </c>
    </row>
    <row r="344" spans="1:4" x14ac:dyDescent="0.25">
      <c r="A344" t="s">
        <v>82</v>
      </c>
      <c r="B344" t="s">
        <v>64</v>
      </c>
      <c r="C344" s="1">
        <v>73</v>
      </c>
      <c r="D344" s="3">
        <v>45657</v>
      </c>
    </row>
    <row r="345" spans="1:4" x14ac:dyDescent="0.25">
      <c r="A345" t="s">
        <v>82</v>
      </c>
      <c r="B345" t="s">
        <v>64</v>
      </c>
      <c r="C345" s="1">
        <v>72</v>
      </c>
      <c r="D345" s="2">
        <v>45853</v>
      </c>
    </row>
    <row r="346" spans="1:4" x14ac:dyDescent="0.25">
      <c r="A346" t="s">
        <v>38</v>
      </c>
      <c r="B346" t="s">
        <v>21</v>
      </c>
      <c r="C346" s="1">
        <v>67</v>
      </c>
      <c r="D346" s="3">
        <v>44926</v>
      </c>
    </row>
    <row r="347" spans="1:4" x14ac:dyDescent="0.25">
      <c r="A347" t="s">
        <v>38</v>
      </c>
      <c r="B347" t="s">
        <v>21</v>
      </c>
      <c r="C347" s="1">
        <v>65</v>
      </c>
      <c r="D347" s="3">
        <v>45291</v>
      </c>
    </row>
    <row r="348" spans="1:4" x14ac:dyDescent="0.25">
      <c r="A348" t="s">
        <v>38</v>
      </c>
      <c r="B348" t="s">
        <v>21</v>
      </c>
      <c r="C348" s="1">
        <v>64</v>
      </c>
      <c r="D348" s="3">
        <v>45657</v>
      </c>
    </row>
    <row r="349" spans="1:4" x14ac:dyDescent="0.25">
      <c r="A349" t="s">
        <v>38</v>
      </c>
      <c r="B349" t="s">
        <v>21</v>
      </c>
      <c r="C349" s="1">
        <v>63</v>
      </c>
      <c r="D349" s="2">
        <v>45853</v>
      </c>
    </row>
    <row r="350" spans="1:4" x14ac:dyDescent="0.25">
      <c r="A350" t="s">
        <v>51</v>
      </c>
      <c r="B350" t="s">
        <v>42</v>
      </c>
      <c r="C350" s="1">
        <v>62</v>
      </c>
      <c r="D350" s="3">
        <v>44926</v>
      </c>
    </row>
    <row r="351" spans="1:4" x14ac:dyDescent="0.25">
      <c r="A351" t="s">
        <v>51</v>
      </c>
      <c r="B351" t="s">
        <v>42</v>
      </c>
      <c r="C351" s="1">
        <v>61</v>
      </c>
      <c r="D351" s="3">
        <v>45291</v>
      </c>
    </row>
    <row r="352" spans="1:4" x14ac:dyDescent="0.25">
      <c r="A352" t="s">
        <v>51</v>
      </c>
      <c r="B352" t="s">
        <v>42</v>
      </c>
      <c r="C352" s="1">
        <v>60</v>
      </c>
      <c r="D352" s="3">
        <v>45657</v>
      </c>
    </row>
    <row r="353" spans="1:4" x14ac:dyDescent="0.25">
      <c r="A353" t="s">
        <v>51</v>
      </c>
      <c r="B353" t="s">
        <v>42</v>
      </c>
      <c r="C353" s="1">
        <v>59</v>
      </c>
      <c r="D353" s="2">
        <v>45853</v>
      </c>
    </row>
    <row r="354" spans="1:4" x14ac:dyDescent="0.25">
      <c r="A354" t="s">
        <v>39</v>
      </c>
      <c r="B354" t="s">
        <v>21</v>
      </c>
      <c r="C354" s="1">
        <v>78</v>
      </c>
      <c r="D354" s="3">
        <v>44926</v>
      </c>
    </row>
    <row r="355" spans="1:4" x14ac:dyDescent="0.25">
      <c r="A355" t="s">
        <v>39</v>
      </c>
      <c r="B355" t="s">
        <v>21</v>
      </c>
      <c r="C355" s="1">
        <v>77</v>
      </c>
      <c r="D355" s="3">
        <v>45291</v>
      </c>
    </row>
    <row r="356" spans="1:4" x14ac:dyDescent="0.25">
      <c r="A356" t="s">
        <v>39</v>
      </c>
      <c r="B356" t="s">
        <v>21</v>
      </c>
      <c r="C356" s="1">
        <v>76</v>
      </c>
      <c r="D356" s="3">
        <v>45657</v>
      </c>
    </row>
    <row r="357" spans="1:4" x14ac:dyDescent="0.25">
      <c r="A357" t="s">
        <v>39</v>
      </c>
      <c r="B357" t="s">
        <v>21</v>
      </c>
      <c r="C357" s="1">
        <v>75</v>
      </c>
      <c r="D357" s="2">
        <v>45853</v>
      </c>
    </row>
    <row r="358" spans="1:4" x14ac:dyDescent="0.25">
      <c r="A358" t="s">
        <v>98</v>
      </c>
      <c r="B358" t="s">
        <v>86</v>
      </c>
      <c r="C358" s="1">
        <v>73</v>
      </c>
      <c r="D358" s="3">
        <v>44926</v>
      </c>
    </row>
    <row r="359" spans="1:4" x14ac:dyDescent="0.25">
      <c r="A359" t="s">
        <v>98</v>
      </c>
      <c r="B359" t="s">
        <v>86</v>
      </c>
      <c r="C359" s="1">
        <v>75</v>
      </c>
      <c r="D359" s="3">
        <v>45291</v>
      </c>
    </row>
    <row r="360" spans="1:4" x14ac:dyDescent="0.25">
      <c r="A360" t="s">
        <v>98</v>
      </c>
      <c r="B360" t="s">
        <v>86</v>
      </c>
      <c r="C360" s="1">
        <v>74</v>
      </c>
      <c r="D360" s="3">
        <v>45657</v>
      </c>
    </row>
    <row r="361" spans="1:4" x14ac:dyDescent="0.25">
      <c r="A361" t="s">
        <v>98</v>
      </c>
      <c r="B361" t="s">
        <v>86</v>
      </c>
      <c r="C361" s="1">
        <v>73</v>
      </c>
      <c r="D361" s="2">
        <v>45853</v>
      </c>
    </row>
    <row r="362" spans="1:4" x14ac:dyDescent="0.25">
      <c r="A362" t="s">
        <v>99</v>
      </c>
      <c r="B362" t="s">
        <v>86</v>
      </c>
      <c r="C362" s="1">
        <v>66</v>
      </c>
      <c r="D362" s="3">
        <v>44926</v>
      </c>
    </row>
    <row r="363" spans="1:4" x14ac:dyDescent="0.25">
      <c r="A363" t="s">
        <v>99</v>
      </c>
      <c r="B363" t="s">
        <v>86</v>
      </c>
      <c r="C363" s="1">
        <v>65</v>
      </c>
      <c r="D363" s="3">
        <v>45291</v>
      </c>
    </row>
    <row r="364" spans="1:4" x14ac:dyDescent="0.25">
      <c r="A364" t="s">
        <v>99</v>
      </c>
      <c r="B364" t="s">
        <v>86</v>
      </c>
      <c r="C364" s="1">
        <v>67</v>
      </c>
      <c r="D364" s="3">
        <v>45657</v>
      </c>
    </row>
    <row r="365" spans="1:4" x14ac:dyDescent="0.25">
      <c r="A365" t="s">
        <v>99</v>
      </c>
      <c r="B365" t="s">
        <v>86</v>
      </c>
      <c r="C365" s="1">
        <v>71</v>
      </c>
      <c r="D365" s="2">
        <v>45853</v>
      </c>
    </row>
    <row r="366" spans="1:4" x14ac:dyDescent="0.25">
      <c r="A366" t="s">
        <v>117</v>
      </c>
      <c r="B366" t="s">
        <v>112</v>
      </c>
      <c r="C366" s="1">
        <v>61</v>
      </c>
      <c r="D366" s="3">
        <v>44926</v>
      </c>
    </row>
    <row r="367" spans="1:4" x14ac:dyDescent="0.25">
      <c r="A367" t="s">
        <v>117</v>
      </c>
      <c r="B367" t="s">
        <v>112</v>
      </c>
      <c r="C367" s="1">
        <v>60</v>
      </c>
      <c r="D367" s="3">
        <v>45291</v>
      </c>
    </row>
    <row r="368" spans="1:4" x14ac:dyDescent="0.25">
      <c r="A368" t="s">
        <v>117</v>
      </c>
      <c r="B368" t="s">
        <v>112</v>
      </c>
      <c r="C368" s="1">
        <v>61</v>
      </c>
      <c r="D368" s="3">
        <v>45657</v>
      </c>
    </row>
    <row r="369" spans="1:4" x14ac:dyDescent="0.25">
      <c r="A369" t="s">
        <v>117</v>
      </c>
      <c r="B369" t="s">
        <v>112</v>
      </c>
      <c r="C369" s="1">
        <v>62</v>
      </c>
      <c r="D369" s="2">
        <v>45853</v>
      </c>
    </row>
    <row r="370" spans="1:4" x14ac:dyDescent="0.25">
      <c r="A370" t="s">
        <v>100</v>
      </c>
      <c r="B370" t="s">
        <v>86</v>
      </c>
      <c r="C370" s="1">
        <v>69</v>
      </c>
      <c r="D370" s="3">
        <v>44926</v>
      </c>
    </row>
    <row r="371" spans="1:4" x14ac:dyDescent="0.25">
      <c r="A371" t="s">
        <v>100</v>
      </c>
      <c r="B371" t="s">
        <v>86</v>
      </c>
      <c r="C371" s="1">
        <v>67</v>
      </c>
      <c r="D371" s="3">
        <v>45291</v>
      </c>
    </row>
    <row r="372" spans="1:4" x14ac:dyDescent="0.25">
      <c r="A372" t="s">
        <v>100</v>
      </c>
      <c r="B372" t="s">
        <v>86</v>
      </c>
      <c r="C372" s="1">
        <v>66</v>
      </c>
      <c r="D372" s="3">
        <v>45657</v>
      </c>
    </row>
    <row r="373" spans="1:4" x14ac:dyDescent="0.25">
      <c r="A373" t="s">
        <v>100</v>
      </c>
      <c r="B373" t="s">
        <v>86</v>
      </c>
      <c r="C373" s="1">
        <v>65</v>
      </c>
      <c r="D373" s="2">
        <v>45853</v>
      </c>
    </row>
    <row r="374" spans="1:4" x14ac:dyDescent="0.25">
      <c r="A374" t="s">
        <v>52</v>
      </c>
      <c r="B374" t="s">
        <v>42</v>
      </c>
      <c r="C374" s="1">
        <v>59</v>
      </c>
      <c r="D374" s="3">
        <v>44926</v>
      </c>
    </row>
    <row r="375" spans="1:4" x14ac:dyDescent="0.25">
      <c r="A375" t="s">
        <v>52</v>
      </c>
      <c r="B375" t="s">
        <v>42</v>
      </c>
      <c r="C375" s="1">
        <v>57</v>
      </c>
      <c r="D375" s="3">
        <v>45291</v>
      </c>
    </row>
    <row r="376" spans="1:4" x14ac:dyDescent="0.25">
      <c r="A376" t="s">
        <v>52</v>
      </c>
      <c r="B376" t="s">
        <v>42</v>
      </c>
      <c r="C376" s="1">
        <v>55</v>
      </c>
      <c r="D376" s="3">
        <v>45657</v>
      </c>
    </row>
    <row r="377" spans="1:4" x14ac:dyDescent="0.25">
      <c r="A377" t="s">
        <v>52</v>
      </c>
      <c r="B377" t="s">
        <v>42</v>
      </c>
      <c r="C377" s="1">
        <v>53</v>
      </c>
      <c r="D377" s="2">
        <v>45853</v>
      </c>
    </row>
    <row r="378" spans="1:4" x14ac:dyDescent="0.25">
      <c r="A378" t="s">
        <v>118</v>
      </c>
      <c r="B378" t="s">
        <v>112</v>
      </c>
      <c r="C378" s="1">
        <v>55</v>
      </c>
      <c r="D378" s="3">
        <v>44926</v>
      </c>
    </row>
    <row r="379" spans="1:4" x14ac:dyDescent="0.25">
      <c r="A379" t="s">
        <v>118</v>
      </c>
      <c r="B379" t="s">
        <v>112</v>
      </c>
      <c r="C379" s="1">
        <v>52</v>
      </c>
      <c r="D379" s="3">
        <v>45291</v>
      </c>
    </row>
    <row r="380" spans="1:4" x14ac:dyDescent="0.25">
      <c r="A380" t="s">
        <v>118</v>
      </c>
      <c r="B380" t="s">
        <v>112</v>
      </c>
      <c r="C380" s="1">
        <v>55</v>
      </c>
      <c r="D380" s="3">
        <v>45657</v>
      </c>
    </row>
    <row r="381" spans="1:4" x14ac:dyDescent="0.25">
      <c r="A381" t="s">
        <v>118</v>
      </c>
      <c r="B381" t="s">
        <v>112</v>
      </c>
      <c r="C381" s="1">
        <v>54</v>
      </c>
      <c r="D381" s="2">
        <v>45853</v>
      </c>
    </row>
    <row r="382" spans="1:4" x14ac:dyDescent="0.25">
      <c r="A382" t="s">
        <v>107</v>
      </c>
      <c r="B382" t="s">
        <v>103</v>
      </c>
      <c r="C382" s="1">
        <v>81</v>
      </c>
      <c r="D382" s="3">
        <v>44926</v>
      </c>
    </row>
    <row r="383" spans="1:4" x14ac:dyDescent="0.25">
      <c r="A383" t="s">
        <v>107</v>
      </c>
      <c r="B383" t="s">
        <v>103</v>
      </c>
      <c r="C383" s="1">
        <v>82</v>
      </c>
      <c r="D383" s="3">
        <v>45291</v>
      </c>
    </row>
    <row r="384" spans="1:4" x14ac:dyDescent="0.25">
      <c r="A384" t="s">
        <v>107</v>
      </c>
      <c r="B384" t="s">
        <v>103</v>
      </c>
      <c r="C384" s="1">
        <v>80</v>
      </c>
      <c r="D384" s="3">
        <v>45657</v>
      </c>
    </row>
    <row r="385" spans="1:4" x14ac:dyDescent="0.25">
      <c r="A385" t="s">
        <v>107</v>
      </c>
      <c r="B385" t="s">
        <v>103</v>
      </c>
      <c r="C385" s="1">
        <v>79</v>
      </c>
      <c r="D385" s="2">
        <v>45853</v>
      </c>
    </row>
    <row r="386" spans="1:4" x14ac:dyDescent="0.25">
      <c r="A386" t="s">
        <v>119</v>
      </c>
      <c r="B386" t="s">
        <v>112</v>
      </c>
      <c r="C386" s="1">
        <v>68</v>
      </c>
      <c r="D386" s="3">
        <v>44926</v>
      </c>
    </row>
    <row r="387" spans="1:4" x14ac:dyDescent="0.25">
      <c r="A387" t="s">
        <v>119</v>
      </c>
      <c r="B387" t="s">
        <v>112</v>
      </c>
      <c r="C387" s="1">
        <v>62</v>
      </c>
      <c r="D387" s="3">
        <v>45291</v>
      </c>
    </row>
    <row r="388" spans="1:4" x14ac:dyDescent="0.25">
      <c r="A388" t="s">
        <v>119</v>
      </c>
      <c r="B388" t="s">
        <v>112</v>
      </c>
      <c r="C388" s="1">
        <v>60</v>
      </c>
      <c r="D388" s="3">
        <v>45657</v>
      </c>
    </row>
    <row r="389" spans="1:4" x14ac:dyDescent="0.25">
      <c r="A389" t="s">
        <v>119</v>
      </c>
      <c r="B389" t="s">
        <v>112</v>
      </c>
      <c r="C389" s="1">
        <v>59</v>
      </c>
      <c r="D389" s="2">
        <v>45853</v>
      </c>
    </row>
    <row r="390" spans="1:4" x14ac:dyDescent="0.25">
      <c r="A390" t="s">
        <v>120</v>
      </c>
      <c r="B390" t="s">
        <v>112</v>
      </c>
      <c r="C390" s="1">
        <v>53</v>
      </c>
      <c r="D390" s="3">
        <v>44926</v>
      </c>
    </row>
    <row r="391" spans="1:4" x14ac:dyDescent="0.25">
      <c r="A391" t="s">
        <v>120</v>
      </c>
      <c r="B391" t="s">
        <v>112</v>
      </c>
      <c r="C391" s="1">
        <v>55</v>
      </c>
      <c r="D391" s="3">
        <v>45291</v>
      </c>
    </row>
    <row r="392" spans="1:4" x14ac:dyDescent="0.25">
      <c r="A392" t="s">
        <v>120</v>
      </c>
      <c r="B392" t="s">
        <v>112</v>
      </c>
      <c r="C392" s="1">
        <v>54</v>
      </c>
      <c r="D392" s="3">
        <v>45657</v>
      </c>
    </row>
    <row r="393" spans="1:4" x14ac:dyDescent="0.25">
      <c r="A393" t="s">
        <v>120</v>
      </c>
      <c r="B393" t="s">
        <v>112</v>
      </c>
      <c r="C393" s="1">
        <v>52</v>
      </c>
      <c r="D393" s="2">
        <v>45853</v>
      </c>
    </row>
    <row r="394" spans="1:4" x14ac:dyDescent="0.25">
      <c r="A394" t="s">
        <v>83</v>
      </c>
      <c r="B394" t="s">
        <v>64</v>
      </c>
      <c r="C394" s="1">
        <v>76</v>
      </c>
      <c r="D394" s="3">
        <v>44926</v>
      </c>
    </row>
    <row r="395" spans="1:4" x14ac:dyDescent="0.25">
      <c r="A395" t="s">
        <v>83</v>
      </c>
      <c r="B395" t="s">
        <v>64</v>
      </c>
      <c r="C395" s="1">
        <v>77</v>
      </c>
      <c r="D395" s="3">
        <v>45291</v>
      </c>
    </row>
    <row r="396" spans="1:4" x14ac:dyDescent="0.25">
      <c r="A396" t="s">
        <v>83</v>
      </c>
      <c r="B396" t="s">
        <v>64</v>
      </c>
      <c r="C396" s="1">
        <v>76</v>
      </c>
      <c r="D396" s="3">
        <v>45657</v>
      </c>
    </row>
    <row r="397" spans="1:4" x14ac:dyDescent="0.25">
      <c r="A397" t="s">
        <v>83</v>
      </c>
      <c r="B397" t="s">
        <v>64</v>
      </c>
      <c r="C397" s="1">
        <v>75</v>
      </c>
      <c r="D397" s="2">
        <v>45853</v>
      </c>
    </row>
    <row r="398" spans="1:4" x14ac:dyDescent="0.25">
      <c r="A398" t="s">
        <v>108</v>
      </c>
      <c r="B398" t="s">
        <v>103</v>
      </c>
      <c r="C398" s="1">
        <v>52</v>
      </c>
      <c r="D398" s="3">
        <v>44926</v>
      </c>
    </row>
    <row r="399" spans="1:4" x14ac:dyDescent="0.25">
      <c r="A399" t="s">
        <v>108</v>
      </c>
      <c r="B399" t="s">
        <v>103</v>
      </c>
      <c r="C399" s="1">
        <v>55</v>
      </c>
      <c r="D399" s="3">
        <v>45291</v>
      </c>
    </row>
    <row r="400" spans="1:4" x14ac:dyDescent="0.25">
      <c r="A400" t="s">
        <v>108</v>
      </c>
      <c r="B400" t="s">
        <v>103</v>
      </c>
      <c r="C400" s="1">
        <v>52</v>
      </c>
      <c r="D400" s="3">
        <v>45657</v>
      </c>
    </row>
    <row r="401" spans="1:4" x14ac:dyDescent="0.25">
      <c r="A401" t="s">
        <v>108</v>
      </c>
      <c r="B401" t="s">
        <v>103</v>
      </c>
      <c r="C401" s="1">
        <v>50</v>
      </c>
      <c r="D401" s="2">
        <v>45853</v>
      </c>
    </row>
    <row r="402" spans="1:4" x14ac:dyDescent="0.25">
      <c r="A402" t="s">
        <v>101</v>
      </c>
      <c r="B402" t="s">
        <v>86</v>
      </c>
      <c r="C402" s="1">
        <v>77</v>
      </c>
      <c r="D402" s="3">
        <v>44926</v>
      </c>
    </row>
    <row r="403" spans="1:4" x14ac:dyDescent="0.25">
      <c r="A403" t="s">
        <v>101</v>
      </c>
      <c r="B403" t="s">
        <v>86</v>
      </c>
      <c r="C403" s="1">
        <v>74</v>
      </c>
      <c r="D403" s="3">
        <v>45291</v>
      </c>
    </row>
    <row r="404" spans="1:4" x14ac:dyDescent="0.25">
      <c r="A404" t="s">
        <v>101</v>
      </c>
      <c r="B404" t="s">
        <v>86</v>
      </c>
      <c r="C404" s="1">
        <v>74</v>
      </c>
      <c r="D404" s="3">
        <v>45657</v>
      </c>
    </row>
    <row r="405" spans="1:4" x14ac:dyDescent="0.25">
      <c r="A405" t="s">
        <v>101</v>
      </c>
      <c r="B405" t="s">
        <v>86</v>
      </c>
      <c r="C405" s="1">
        <v>74</v>
      </c>
      <c r="D405" s="2">
        <v>45853</v>
      </c>
    </row>
    <row r="406" spans="1:4" x14ac:dyDescent="0.25">
      <c r="A406" t="s">
        <v>53</v>
      </c>
      <c r="B406" t="s">
        <v>42</v>
      </c>
      <c r="C406" s="1">
        <v>71</v>
      </c>
      <c r="D406" s="3">
        <v>44926</v>
      </c>
    </row>
    <row r="407" spans="1:4" x14ac:dyDescent="0.25">
      <c r="A407" t="s">
        <v>53</v>
      </c>
      <c r="B407" t="s">
        <v>42</v>
      </c>
      <c r="C407" s="1">
        <v>73</v>
      </c>
      <c r="D407" s="3">
        <v>45291</v>
      </c>
    </row>
    <row r="408" spans="1:4" x14ac:dyDescent="0.25">
      <c r="A408" t="s">
        <v>53</v>
      </c>
      <c r="B408" t="s">
        <v>42</v>
      </c>
      <c r="C408" s="1">
        <v>75</v>
      </c>
      <c r="D408" s="3">
        <v>45657</v>
      </c>
    </row>
    <row r="409" spans="1:4" x14ac:dyDescent="0.25">
      <c r="A409" t="s">
        <v>53</v>
      </c>
      <c r="B409" t="s">
        <v>42</v>
      </c>
      <c r="C409" s="1">
        <v>74</v>
      </c>
      <c r="D409" s="2">
        <v>45853</v>
      </c>
    </row>
    <row r="410" spans="1:4" x14ac:dyDescent="0.25">
      <c r="A410" t="s">
        <v>19</v>
      </c>
      <c r="B410" t="s">
        <v>5</v>
      </c>
      <c r="C410" s="1">
        <v>69</v>
      </c>
      <c r="D410" s="3">
        <v>44926</v>
      </c>
    </row>
    <row r="411" spans="1:4" x14ac:dyDescent="0.25">
      <c r="A411" t="s">
        <v>19</v>
      </c>
      <c r="B411" t="s">
        <v>5</v>
      </c>
      <c r="C411" s="1">
        <v>67</v>
      </c>
      <c r="D411" s="3">
        <v>45291</v>
      </c>
    </row>
    <row r="412" spans="1:4" x14ac:dyDescent="0.25">
      <c r="A412" t="s">
        <v>19</v>
      </c>
      <c r="B412" t="s">
        <v>5</v>
      </c>
      <c r="C412" s="1">
        <v>65</v>
      </c>
      <c r="D412" s="3">
        <v>45657</v>
      </c>
    </row>
    <row r="413" spans="1:4" x14ac:dyDescent="0.25">
      <c r="A413" t="s">
        <v>19</v>
      </c>
      <c r="B413" t="s">
        <v>5</v>
      </c>
      <c r="C413" s="1">
        <v>64</v>
      </c>
      <c r="D413" s="2">
        <v>45853</v>
      </c>
    </row>
    <row r="414" spans="1:4" x14ac:dyDescent="0.25">
      <c r="A414" t="s">
        <v>109</v>
      </c>
      <c r="B414" t="s">
        <v>103</v>
      </c>
      <c r="C414" s="1">
        <v>74</v>
      </c>
      <c r="D414" s="3">
        <v>44926</v>
      </c>
    </row>
    <row r="415" spans="1:4" x14ac:dyDescent="0.25">
      <c r="A415" t="s">
        <v>109</v>
      </c>
      <c r="B415" t="s">
        <v>103</v>
      </c>
      <c r="C415" s="1">
        <v>72</v>
      </c>
      <c r="D415" s="3">
        <v>45291</v>
      </c>
    </row>
    <row r="416" spans="1:4" x14ac:dyDescent="0.25">
      <c r="A416" t="s">
        <v>109</v>
      </c>
      <c r="B416" t="s">
        <v>103</v>
      </c>
      <c r="C416" s="1">
        <v>74</v>
      </c>
      <c r="D416" s="3">
        <v>45657</v>
      </c>
    </row>
    <row r="417" spans="1:4" x14ac:dyDescent="0.25">
      <c r="A417" t="s">
        <v>109</v>
      </c>
      <c r="B417" t="s">
        <v>103</v>
      </c>
      <c r="C417" s="1">
        <v>72</v>
      </c>
      <c r="D417" s="2">
        <v>45853</v>
      </c>
    </row>
    <row r="418" spans="1:4" x14ac:dyDescent="0.25">
      <c r="A418" t="s">
        <v>110</v>
      </c>
      <c r="B418" t="s">
        <v>103</v>
      </c>
      <c r="C418" s="1">
        <v>46</v>
      </c>
      <c r="D418" s="3">
        <v>44926</v>
      </c>
    </row>
    <row r="419" spans="1:4" x14ac:dyDescent="0.25">
      <c r="A419" t="s">
        <v>110</v>
      </c>
      <c r="B419" t="s">
        <v>103</v>
      </c>
      <c r="C419" s="1">
        <v>43</v>
      </c>
      <c r="D419" s="3">
        <v>45291</v>
      </c>
    </row>
    <row r="420" spans="1:4" x14ac:dyDescent="0.25">
      <c r="A420" t="s">
        <v>110</v>
      </c>
      <c r="B420" t="s">
        <v>103</v>
      </c>
      <c r="C420" s="1">
        <v>44</v>
      </c>
      <c r="D420" s="3">
        <v>45657</v>
      </c>
    </row>
    <row r="421" spans="1:4" x14ac:dyDescent="0.25">
      <c r="A421" t="s">
        <v>110</v>
      </c>
      <c r="B421" t="s">
        <v>103</v>
      </c>
      <c r="C421" s="1">
        <v>42</v>
      </c>
      <c r="D421" s="2">
        <v>45853</v>
      </c>
    </row>
    <row r="422" spans="1:4" x14ac:dyDescent="0.25">
      <c r="A422" t="s">
        <v>40</v>
      </c>
      <c r="B422" t="s">
        <v>21</v>
      </c>
      <c r="C422" s="1">
        <v>70</v>
      </c>
      <c r="D422" s="3">
        <v>44926</v>
      </c>
    </row>
    <row r="423" spans="1:4" x14ac:dyDescent="0.25">
      <c r="A423" t="s">
        <v>40</v>
      </c>
      <c r="B423" t="s">
        <v>21</v>
      </c>
      <c r="C423" s="1">
        <v>69</v>
      </c>
      <c r="D423" s="3">
        <v>45291</v>
      </c>
    </row>
    <row r="424" spans="1:4" x14ac:dyDescent="0.25">
      <c r="A424" t="s">
        <v>40</v>
      </c>
      <c r="B424" t="s">
        <v>21</v>
      </c>
      <c r="C424" s="1">
        <v>71</v>
      </c>
      <c r="D424" s="3">
        <v>45657</v>
      </c>
    </row>
    <row r="425" spans="1:4" x14ac:dyDescent="0.25">
      <c r="A425" t="s">
        <v>40</v>
      </c>
      <c r="B425" t="s">
        <v>21</v>
      </c>
      <c r="C425" s="1">
        <v>70</v>
      </c>
      <c r="D425" s="2">
        <v>45853</v>
      </c>
    </row>
    <row r="426" spans="1:4" x14ac:dyDescent="0.25">
      <c r="A426" t="s">
        <v>121</v>
      </c>
      <c r="B426" t="s">
        <v>112</v>
      </c>
      <c r="C426" s="1">
        <v>73</v>
      </c>
      <c r="D426" s="3">
        <v>44926</v>
      </c>
    </row>
    <row r="427" spans="1:4" x14ac:dyDescent="0.25">
      <c r="A427" t="s">
        <v>121</v>
      </c>
      <c r="B427" t="s">
        <v>112</v>
      </c>
      <c r="C427" s="1">
        <v>70</v>
      </c>
      <c r="D427" s="3">
        <v>45291</v>
      </c>
    </row>
    <row r="428" spans="1:4" x14ac:dyDescent="0.25">
      <c r="A428" t="s">
        <v>121</v>
      </c>
      <c r="B428" t="s">
        <v>112</v>
      </c>
      <c r="C428" s="1">
        <v>68</v>
      </c>
      <c r="D428" s="3">
        <v>45657</v>
      </c>
    </row>
    <row r="429" spans="1:4" x14ac:dyDescent="0.25">
      <c r="A429" t="s">
        <v>121</v>
      </c>
      <c r="B429" t="s">
        <v>112</v>
      </c>
      <c r="C429" s="1">
        <v>67</v>
      </c>
      <c r="D429" s="2">
        <v>45853</v>
      </c>
    </row>
    <row r="430" spans="1:4" x14ac:dyDescent="0.25">
      <c r="A430" t="s">
        <v>84</v>
      </c>
      <c r="B430" t="s">
        <v>64</v>
      </c>
      <c r="C430" s="1">
        <v>74</v>
      </c>
      <c r="D430" s="3">
        <v>44926</v>
      </c>
    </row>
    <row r="431" spans="1:4" x14ac:dyDescent="0.25">
      <c r="A431" t="s">
        <v>84</v>
      </c>
      <c r="B431" t="s">
        <v>64</v>
      </c>
      <c r="C431" s="1">
        <v>75</v>
      </c>
      <c r="D431" s="3">
        <v>45291</v>
      </c>
    </row>
    <row r="432" spans="1:4" x14ac:dyDescent="0.25">
      <c r="A432" t="s">
        <v>84</v>
      </c>
      <c r="B432" t="s">
        <v>64</v>
      </c>
      <c r="C432" s="1">
        <v>73</v>
      </c>
      <c r="D432" s="3">
        <v>45657</v>
      </c>
    </row>
    <row r="433" spans="1:4" x14ac:dyDescent="0.25">
      <c r="A433" t="s">
        <v>84</v>
      </c>
      <c r="B433" t="s">
        <v>64</v>
      </c>
      <c r="C433" s="1">
        <v>72</v>
      </c>
      <c r="D433" s="2">
        <v>45853</v>
      </c>
    </row>
    <row r="434" spans="1:4" x14ac:dyDescent="0.25">
      <c r="A434" t="s">
        <v>60</v>
      </c>
      <c r="B434" t="s">
        <v>55</v>
      </c>
      <c r="C434" s="1">
        <v>79</v>
      </c>
      <c r="D434" s="3">
        <v>44926</v>
      </c>
    </row>
    <row r="435" spans="1:4" x14ac:dyDescent="0.25">
      <c r="A435" t="s">
        <v>60</v>
      </c>
      <c r="B435" t="s">
        <v>55</v>
      </c>
      <c r="C435" s="1">
        <v>79</v>
      </c>
      <c r="D435" s="3">
        <v>45291</v>
      </c>
    </row>
    <row r="436" spans="1:4" x14ac:dyDescent="0.25">
      <c r="A436" t="s">
        <v>60</v>
      </c>
      <c r="B436" t="s">
        <v>55</v>
      </c>
      <c r="C436" s="1">
        <v>80</v>
      </c>
      <c r="D436" s="3">
        <v>45657</v>
      </c>
    </row>
    <row r="437" spans="1:4" x14ac:dyDescent="0.25">
      <c r="A437" t="s">
        <v>60</v>
      </c>
      <c r="B437" t="s">
        <v>55</v>
      </c>
      <c r="C437" s="1">
        <v>79</v>
      </c>
      <c r="D437" s="2">
        <v>45853</v>
      </c>
    </row>
  </sheetData>
  <sortState xmlns:xlrd2="http://schemas.microsoft.com/office/spreadsheetml/2017/richdata2" ref="A2:D437">
    <sortCondition ref="A2:A437"/>
    <sortCondition ref="D2:D4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BF31-4BB3-4344-B560-B974A1054F12}">
  <dimension ref="A3:F114"/>
  <sheetViews>
    <sheetView zoomScale="115" zoomScaleNormal="115" workbookViewId="0">
      <pane xSplit="1" ySplit="4" topLeftCell="B77" activePane="bottomRight" state="frozen"/>
      <selection pane="topRight" activeCell="B1" sqref="B1"/>
      <selection pane="bottomLeft" activeCell="A5" sqref="A5"/>
      <selection pane="bottomRight" activeCell="J18" sqref="J18"/>
    </sheetView>
  </sheetViews>
  <sheetFormatPr defaultRowHeight="15" x14ac:dyDescent="0.25"/>
  <cols>
    <col min="1" max="1" width="18.85546875" bestFit="1" customWidth="1"/>
    <col min="2" max="2" width="15.28515625" bestFit="1" customWidth="1"/>
    <col min="3" max="5" width="12.140625" bestFit="1" customWidth="1"/>
    <col min="6" max="6" width="18.85546875" bestFit="1" customWidth="1"/>
  </cols>
  <sheetData>
    <row r="3" spans="1:6" x14ac:dyDescent="0.25">
      <c r="A3" s="6" t="s">
        <v>128</v>
      </c>
      <c r="B3" s="6" t="s">
        <v>127</v>
      </c>
    </row>
    <row r="4" spans="1:6" x14ac:dyDescent="0.25">
      <c r="A4" s="6" t="s">
        <v>126</v>
      </c>
      <c r="B4" s="2">
        <v>44926</v>
      </c>
      <c r="C4" s="2">
        <v>45291</v>
      </c>
      <c r="D4" s="2">
        <v>45657</v>
      </c>
      <c r="E4" s="2">
        <v>45853</v>
      </c>
      <c r="F4" s="2" t="s">
        <v>131</v>
      </c>
    </row>
    <row r="5" spans="1:6" x14ac:dyDescent="0.25">
      <c r="A5" s="7" t="s">
        <v>4</v>
      </c>
      <c r="B5">
        <v>67</v>
      </c>
      <c r="C5">
        <v>65</v>
      </c>
      <c r="D5">
        <v>64</v>
      </c>
      <c r="E5">
        <v>63</v>
      </c>
      <c r="F5">
        <v>64.75</v>
      </c>
    </row>
    <row r="6" spans="1:6" x14ac:dyDescent="0.25">
      <c r="A6" s="7" t="s">
        <v>6</v>
      </c>
      <c r="B6">
        <v>74</v>
      </c>
      <c r="C6">
        <v>72</v>
      </c>
      <c r="D6">
        <v>74</v>
      </c>
      <c r="E6">
        <v>73</v>
      </c>
      <c r="F6">
        <v>73.25</v>
      </c>
    </row>
    <row r="7" spans="1:6" x14ac:dyDescent="0.25">
      <c r="A7" s="7" t="s">
        <v>7</v>
      </c>
      <c r="B7">
        <v>59</v>
      </c>
      <c r="C7">
        <v>58</v>
      </c>
      <c r="D7">
        <v>59</v>
      </c>
      <c r="E7">
        <v>58</v>
      </c>
      <c r="F7">
        <v>58.5</v>
      </c>
    </row>
    <row r="8" spans="1:6" x14ac:dyDescent="0.25">
      <c r="A8" s="7" t="s">
        <v>54</v>
      </c>
      <c r="B8">
        <v>60</v>
      </c>
      <c r="C8">
        <v>59</v>
      </c>
      <c r="D8">
        <v>56</v>
      </c>
      <c r="E8">
        <v>55</v>
      </c>
      <c r="F8">
        <v>57.5</v>
      </c>
    </row>
    <row r="9" spans="1:6" x14ac:dyDescent="0.25">
      <c r="A9" s="7" t="s">
        <v>20</v>
      </c>
      <c r="B9">
        <v>65</v>
      </c>
      <c r="C9">
        <v>63</v>
      </c>
      <c r="D9">
        <v>61</v>
      </c>
      <c r="E9">
        <v>60</v>
      </c>
      <c r="F9">
        <v>62.25</v>
      </c>
    </row>
    <row r="10" spans="1:6" x14ac:dyDescent="0.25">
      <c r="A10" s="7" t="s">
        <v>63</v>
      </c>
      <c r="B10">
        <v>75</v>
      </c>
      <c r="C10">
        <v>73</v>
      </c>
      <c r="D10">
        <v>79</v>
      </c>
      <c r="E10">
        <v>78</v>
      </c>
      <c r="F10">
        <v>76.25</v>
      </c>
    </row>
    <row r="11" spans="1:6" x14ac:dyDescent="0.25">
      <c r="A11" s="7" t="s">
        <v>65</v>
      </c>
      <c r="B11">
        <v>65</v>
      </c>
      <c r="C11">
        <v>68</v>
      </c>
      <c r="D11">
        <v>70</v>
      </c>
      <c r="E11">
        <v>69</v>
      </c>
      <c r="F11">
        <v>68</v>
      </c>
    </row>
    <row r="12" spans="1:6" x14ac:dyDescent="0.25">
      <c r="A12" s="7" t="s">
        <v>41</v>
      </c>
      <c r="B12">
        <v>70</v>
      </c>
      <c r="C12">
        <v>73</v>
      </c>
      <c r="D12">
        <v>72</v>
      </c>
      <c r="E12">
        <v>71</v>
      </c>
      <c r="F12">
        <v>71.5</v>
      </c>
    </row>
    <row r="13" spans="1:6" x14ac:dyDescent="0.25">
      <c r="A13" s="7" t="s">
        <v>102</v>
      </c>
      <c r="B13">
        <v>52</v>
      </c>
      <c r="C13">
        <v>55</v>
      </c>
      <c r="D13">
        <v>53</v>
      </c>
      <c r="E13">
        <v>52</v>
      </c>
      <c r="F13">
        <v>53</v>
      </c>
    </row>
    <row r="14" spans="1:6" x14ac:dyDescent="0.25">
      <c r="A14" s="7" t="s">
        <v>8</v>
      </c>
      <c r="B14">
        <v>56</v>
      </c>
      <c r="C14">
        <v>55</v>
      </c>
      <c r="D14">
        <v>57</v>
      </c>
      <c r="E14">
        <v>56</v>
      </c>
      <c r="F14">
        <v>56</v>
      </c>
    </row>
    <row r="15" spans="1:6" x14ac:dyDescent="0.25">
      <c r="A15" s="7" t="s">
        <v>22</v>
      </c>
      <c r="B15">
        <v>79</v>
      </c>
      <c r="C15">
        <v>78</v>
      </c>
      <c r="D15">
        <v>76</v>
      </c>
      <c r="E15">
        <v>75</v>
      </c>
      <c r="F15">
        <v>77</v>
      </c>
    </row>
    <row r="16" spans="1:6" x14ac:dyDescent="0.25">
      <c r="A16" s="7" t="s">
        <v>66</v>
      </c>
      <c r="B16">
        <v>74</v>
      </c>
      <c r="C16">
        <v>72</v>
      </c>
      <c r="D16">
        <v>71</v>
      </c>
      <c r="E16">
        <v>69</v>
      </c>
      <c r="F16">
        <v>71.5</v>
      </c>
    </row>
    <row r="17" spans="1:6" x14ac:dyDescent="0.25">
      <c r="A17" s="7" t="s">
        <v>67</v>
      </c>
      <c r="B17">
        <v>77</v>
      </c>
      <c r="C17">
        <v>76</v>
      </c>
      <c r="D17">
        <v>75</v>
      </c>
      <c r="E17">
        <v>74</v>
      </c>
      <c r="F17">
        <v>75.5</v>
      </c>
    </row>
    <row r="18" spans="1:6" x14ac:dyDescent="0.25">
      <c r="A18" s="7" t="s">
        <v>56</v>
      </c>
      <c r="B18">
        <v>59</v>
      </c>
      <c r="C18">
        <v>57</v>
      </c>
      <c r="D18">
        <v>55</v>
      </c>
      <c r="E18">
        <v>54</v>
      </c>
      <c r="F18">
        <v>56.25</v>
      </c>
    </row>
    <row r="19" spans="1:6" x14ac:dyDescent="0.25">
      <c r="A19" s="7" t="s">
        <v>85</v>
      </c>
      <c r="B19">
        <v>69</v>
      </c>
      <c r="C19">
        <v>66</v>
      </c>
      <c r="D19">
        <v>64</v>
      </c>
      <c r="E19">
        <v>63</v>
      </c>
      <c r="F19">
        <v>65.5</v>
      </c>
    </row>
    <row r="20" spans="1:6" x14ac:dyDescent="0.25">
      <c r="A20" s="7" t="s">
        <v>23</v>
      </c>
      <c r="B20">
        <v>78</v>
      </c>
      <c r="C20">
        <v>77</v>
      </c>
      <c r="D20">
        <v>73</v>
      </c>
      <c r="E20">
        <v>72</v>
      </c>
      <c r="F20">
        <v>75</v>
      </c>
    </row>
    <row r="21" spans="1:6" x14ac:dyDescent="0.25">
      <c r="A21" s="7" t="s">
        <v>111</v>
      </c>
      <c r="B21">
        <v>60</v>
      </c>
      <c r="C21">
        <v>58</v>
      </c>
      <c r="D21">
        <v>58</v>
      </c>
      <c r="E21">
        <v>57</v>
      </c>
      <c r="F21">
        <v>58.25</v>
      </c>
    </row>
    <row r="22" spans="1:6" x14ac:dyDescent="0.25">
      <c r="A22" s="7" t="s">
        <v>68</v>
      </c>
      <c r="B22">
        <v>76</v>
      </c>
      <c r="C22">
        <v>74</v>
      </c>
      <c r="D22">
        <v>84</v>
      </c>
      <c r="E22">
        <v>83</v>
      </c>
      <c r="F22">
        <v>79.25</v>
      </c>
    </row>
    <row r="23" spans="1:6" x14ac:dyDescent="0.25">
      <c r="A23" s="7" t="s">
        <v>24</v>
      </c>
      <c r="B23">
        <v>55</v>
      </c>
      <c r="C23">
        <v>55</v>
      </c>
      <c r="D23">
        <v>56</v>
      </c>
      <c r="E23">
        <v>54</v>
      </c>
      <c r="F23">
        <v>55</v>
      </c>
    </row>
    <row r="24" spans="1:6" x14ac:dyDescent="0.25">
      <c r="A24" s="7" t="s">
        <v>25</v>
      </c>
      <c r="B24">
        <v>70</v>
      </c>
      <c r="C24">
        <v>73</v>
      </c>
      <c r="D24">
        <v>71</v>
      </c>
      <c r="E24">
        <v>70</v>
      </c>
      <c r="F24">
        <v>71</v>
      </c>
    </row>
    <row r="25" spans="1:6" x14ac:dyDescent="0.25">
      <c r="A25" s="7" t="s">
        <v>43</v>
      </c>
      <c r="B25">
        <v>66</v>
      </c>
      <c r="C25">
        <v>69</v>
      </c>
      <c r="D25">
        <v>67</v>
      </c>
      <c r="E25">
        <v>66</v>
      </c>
      <c r="F25">
        <v>67</v>
      </c>
    </row>
    <row r="26" spans="1:6" x14ac:dyDescent="0.25">
      <c r="A26" s="7" t="s">
        <v>113</v>
      </c>
      <c r="B26">
        <v>66</v>
      </c>
      <c r="C26">
        <v>74</v>
      </c>
      <c r="D26">
        <v>75</v>
      </c>
      <c r="E26">
        <v>74</v>
      </c>
      <c r="F26">
        <v>72.25</v>
      </c>
    </row>
    <row r="27" spans="1:6" x14ac:dyDescent="0.25">
      <c r="A27" s="7" t="s">
        <v>87</v>
      </c>
      <c r="B27">
        <v>82</v>
      </c>
      <c r="C27">
        <v>81</v>
      </c>
      <c r="D27">
        <v>82</v>
      </c>
      <c r="E27">
        <v>81</v>
      </c>
      <c r="F27">
        <v>81.5</v>
      </c>
    </row>
    <row r="28" spans="1:6" x14ac:dyDescent="0.25">
      <c r="A28" s="7" t="s">
        <v>69</v>
      </c>
      <c r="B28">
        <v>79</v>
      </c>
      <c r="C28">
        <v>79</v>
      </c>
      <c r="D28">
        <v>77</v>
      </c>
      <c r="E28">
        <v>76</v>
      </c>
      <c r="F28">
        <v>77.75</v>
      </c>
    </row>
    <row r="29" spans="1:6" x14ac:dyDescent="0.25">
      <c r="A29" s="7" t="s">
        <v>26</v>
      </c>
      <c r="B29">
        <v>77</v>
      </c>
      <c r="C29">
        <v>78</v>
      </c>
      <c r="D29">
        <v>79</v>
      </c>
      <c r="E29">
        <v>78</v>
      </c>
      <c r="F29">
        <v>78</v>
      </c>
    </row>
    <row r="30" spans="1:6" x14ac:dyDescent="0.25">
      <c r="A30" s="7" t="s">
        <v>104</v>
      </c>
      <c r="B30">
        <v>63</v>
      </c>
      <c r="C30">
        <v>67</v>
      </c>
      <c r="D30">
        <v>64</v>
      </c>
      <c r="E30">
        <v>63</v>
      </c>
      <c r="F30">
        <v>64.25</v>
      </c>
    </row>
    <row r="31" spans="1:6" x14ac:dyDescent="0.25">
      <c r="A31" s="7" t="s">
        <v>9</v>
      </c>
      <c r="B31">
        <v>78</v>
      </c>
      <c r="C31">
        <v>78</v>
      </c>
      <c r="D31">
        <v>77</v>
      </c>
      <c r="E31">
        <v>77</v>
      </c>
      <c r="F31">
        <v>77.5</v>
      </c>
    </row>
    <row r="32" spans="1:6" x14ac:dyDescent="0.25">
      <c r="A32" s="7" t="s">
        <v>27</v>
      </c>
      <c r="B32">
        <v>69</v>
      </c>
      <c r="C32">
        <v>68</v>
      </c>
      <c r="D32">
        <v>66</v>
      </c>
      <c r="E32">
        <v>65</v>
      </c>
      <c r="F32">
        <v>67</v>
      </c>
    </row>
    <row r="33" spans="1:6" x14ac:dyDescent="0.25">
      <c r="A33" s="7" t="s">
        <v>10</v>
      </c>
      <c r="B33">
        <v>81</v>
      </c>
      <c r="C33">
        <v>79</v>
      </c>
      <c r="D33">
        <v>75</v>
      </c>
      <c r="E33">
        <v>74</v>
      </c>
      <c r="F33">
        <v>77.25</v>
      </c>
    </row>
    <row r="34" spans="1:6" x14ac:dyDescent="0.25">
      <c r="A34" s="7" t="s">
        <v>70</v>
      </c>
      <c r="B34">
        <v>61</v>
      </c>
      <c r="C34">
        <v>60</v>
      </c>
      <c r="D34">
        <v>58</v>
      </c>
      <c r="E34">
        <v>57</v>
      </c>
      <c r="F34">
        <v>59</v>
      </c>
    </row>
    <row r="35" spans="1:6" x14ac:dyDescent="0.25">
      <c r="A35" s="7" t="s">
        <v>44</v>
      </c>
      <c r="B35">
        <v>55</v>
      </c>
      <c r="C35">
        <v>53</v>
      </c>
      <c r="D35">
        <v>52</v>
      </c>
      <c r="E35">
        <v>51</v>
      </c>
      <c r="F35">
        <v>52.75</v>
      </c>
    </row>
    <row r="36" spans="1:6" x14ac:dyDescent="0.25">
      <c r="A36" s="7" t="s">
        <v>105</v>
      </c>
      <c r="B36">
        <v>64</v>
      </c>
      <c r="C36">
        <v>65</v>
      </c>
      <c r="D36">
        <v>63</v>
      </c>
      <c r="E36">
        <v>61</v>
      </c>
      <c r="F36">
        <v>63.25</v>
      </c>
    </row>
    <row r="37" spans="1:6" x14ac:dyDescent="0.25">
      <c r="A37" s="7" t="s">
        <v>71</v>
      </c>
      <c r="B37">
        <v>77</v>
      </c>
      <c r="C37">
        <v>78</v>
      </c>
      <c r="D37">
        <v>77</v>
      </c>
      <c r="E37">
        <v>76</v>
      </c>
      <c r="F37">
        <v>77</v>
      </c>
    </row>
    <row r="38" spans="1:6" x14ac:dyDescent="0.25">
      <c r="A38" s="7" t="s">
        <v>11</v>
      </c>
      <c r="B38">
        <v>71</v>
      </c>
      <c r="C38">
        <v>70</v>
      </c>
      <c r="D38">
        <v>71</v>
      </c>
      <c r="E38">
        <v>69</v>
      </c>
      <c r="F38">
        <v>70.25</v>
      </c>
    </row>
    <row r="39" spans="1:6" x14ac:dyDescent="0.25">
      <c r="A39" s="7" t="s">
        <v>88</v>
      </c>
      <c r="B39">
        <v>61</v>
      </c>
      <c r="C39">
        <v>64</v>
      </c>
      <c r="D39">
        <v>64</v>
      </c>
      <c r="E39">
        <v>62</v>
      </c>
      <c r="F39">
        <v>62.75</v>
      </c>
    </row>
    <row r="40" spans="1:6" x14ac:dyDescent="0.25">
      <c r="A40" s="7" t="s">
        <v>72</v>
      </c>
      <c r="B40">
        <v>66</v>
      </c>
      <c r="C40">
        <v>64</v>
      </c>
      <c r="D40">
        <v>63</v>
      </c>
      <c r="E40">
        <v>62</v>
      </c>
      <c r="F40">
        <v>63.75</v>
      </c>
    </row>
    <row r="41" spans="1:6" x14ac:dyDescent="0.25">
      <c r="A41" s="7" t="s">
        <v>12</v>
      </c>
      <c r="B41">
        <v>70</v>
      </c>
      <c r="C41">
        <v>73</v>
      </c>
      <c r="D41">
        <v>76</v>
      </c>
      <c r="E41">
        <v>74</v>
      </c>
      <c r="F41">
        <v>73.25</v>
      </c>
    </row>
    <row r="42" spans="1:6" x14ac:dyDescent="0.25">
      <c r="A42" s="7" t="s">
        <v>114</v>
      </c>
      <c r="B42">
        <v>72</v>
      </c>
      <c r="C42">
        <v>70</v>
      </c>
      <c r="D42">
        <v>68</v>
      </c>
      <c r="E42">
        <v>67</v>
      </c>
      <c r="F42">
        <v>69.25</v>
      </c>
    </row>
    <row r="43" spans="1:6" x14ac:dyDescent="0.25">
      <c r="A43" s="7" t="s">
        <v>57</v>
      </c>
      <c r="B43">
        <v>48</v>
      </c>
      <c r="C43">
        <v>52</v>
      </c>
      <c r="D43">
        <v>63</v>
      </c>
      <c r="E43">
        <v>61</v>
      </c>
      <c r="F43">
        <v>56</v>
      </c>
    </row>
    <row r="44" spans="1:6" x14ac:dyDescent="0.25">
      <c r="A44" s="7" t="s">
        <v>28</v>
      </c>
      <c r="B44">
        <v>64</v>
      </c>
      <c r="C44">
        <v>62</v>
      </c>
      <c r="D44">
        <v>60</v>
      </c>
      <c r="E44">
        <v>59</v>
      </c>
      <c r="F44">
        <v>61.25</v>
      </c>
    </row>
    <row r="45" spans="1:6" x14ac:dyDescent="0.25">
      <c r="A45" s="7" t="s">
        <v>73</v>
      </c>
      <c r="B45">
        <v>80</v>
      </c>
      <c r="C45">
        <v>83</v>
      </c>
      <c r="D45">
        <v>81</v>
      </c>
      <c r="E45">
        <v>79</v>
      </c>
      <c r="F45">
        <v>80.75</v>
      </c>
    </row>
    <row r="46" spans="1:6" x14ac:dyDescent="0.25">
      <c r="A46" s="7" t="s">
        <v>29</v>
      </c>
      <c r="B46">
        <v>75</v>
      </c>
      <c r="C46">
        <v>73</v>
      </c>
      <c r="D46">
        <v>77</v>
      </c>
      <c r="E46">
        <v>76</v>
      </c>
      <c r="F46">
        <v>75.25</v>
      </c>
    </row>
    <row r="47" spans="1:6" x14ac:dyDescent="0.25">
      <c r="A47" s="7" t="s">
        <v>45</v>
      </c>
      <c r="B47">
        <v>85</v>
      </c>
      <c r="C47">
        <v>89</v>
      </c>
      <c r="D47">
        <v>87</v>
      </c>
      <c r="E47">
        <v>86</v>
      </c>
      <c r="F47">
        <v>86.75</v>
      </c>
    </row>
    <row r="48" spans="1:6" x14ac:dyDescent="0.25">
      <c r="A48" s="7" t="s">
        <v>13</v>
      </c>
      <c r="B48">
        <v>76</v>
      </c>
      <c r="C48">
        <v>76</v>
      </c>
      <c r="D48">
        <v>74</v>
      </c>
      <c r="E48">
        <v>73</v>
      </c>
      <c r="F48">
        <v>74.75</v>
      </c>
    </row>
    <row r="49" spans="1:6" x14ac:dyDescent="0.25">
      <c r="A49" s="7" t="s">
        <v>89</v>
      </c>
      <c r="B49">
        <v>75</v>
      </c>
      <c r="C49">
        <v>73</v>
      </c>
      <c r="D49">
        <v>71</v>
      </c>
      <c r="E49">
        <v>70</v>
      </c>
      <c r="F49">
        <v>72.25</v>
      </c>
    </row>
    <row r="50" spans="1:6" x14ac:dyDescent="0.25">
      <c r="A50" s="7" t="s">
        <v>90</v>
      </c>
      <c r="B50">
        <v>79</v>
      </c>
      <c r="C50">
        <v>79</v>
      </c>
      <c r="D50">
        <v>81</v>
      </c>
      <c r="E50">
        <v>80</v>
      </c>
      <c r="F50">
        <v>79.75</v>
      </c>
    </row>
    <row r="51" spans="1:6" x14ac:dyDescent="0.25">
      <c r="A51" s="7" t="s">
        <v>91</v>
      </c>
      <c r="B51">
        <v>73</v>
      </c>
      <c r="C51">
        <v>75</v>
      </c>
      <c r="D51">
        <v>82</v>
      </c>
      <c r="E51">
        <v>81</v>
      </c>
      <c r="F51">
        <v>77.75</v>
      </c>
    </row>
    <row r="52" spans="1:6" x14ac:dyDescent="0.25">
      <c r="A52" s="7" t="s">
        <v>46</v>
      </c>
      <c r="B52">
        <v>66</v>
      </c>
      <c r="C52">
        <v>67</v>
      </c>
      <c r="D52">
        <v>68</v>
      </c>
      <c r="E52">
        <v>67</v>
      </c>
      <c r="F52">
        <v>67</v>
      </c>
    </row>
    <row r="53" spans="1:6" x14ac:dyDescent="0.25">
      <c r="A53" s="7" t="s">
        <v>30</v>
      </c>
      <c r="B53">
        <v>69</v>
      </c>
      <c r="C53">
        <v>69</v>
      </c>
      <c r="D53">
        <v>69</v>
      </c>
      <c r="E53">
        <v>68</v>
      </c>
      <c r="F53">
        <v>68.75</v>
      </c>
    </row>
    <row r="54" spans="1:6" x14ac:dyDescent="0.25">
      <c r="A54" s="7" t="s">
        <v>74</v>
      </c>
      <c r="B54">
        <v>77</v>
      </c>
      <c r="C54">
        <v>76</v>
      </c>
      <c r="D54">
        <v>75</v>
      </c>
      <c r="E54">
        <v>75</v>
      </c>
      <c r="F54">
        <v>75.75</v>
      </c>
    </row>
    <row r="55" spans="1:6" x14ac:dyDescent="0.25">
      <c r="A55" s="7" t="s">
        <v>75</v>
      </c>
      <c r="B55">
        <v>54</v>
      </c>
      <c r="C55">
        <v>52</v>
      </c>
      <c r="D55">
        <v>50</v>
      </c>
      <c r="E55">
        <v>49</v>
      </c>
      <c r="F55">
        <v>51.25</v>
      </c>
    </row>
    <row r="56" spans="1:6" x14ac:dyDescent="0.25">
      <c r="A56" s="7" t="s">
        <v>47</v>
      </c>
      <c r="B56">
        <v>76</v>
      </c>
      <c r="C56">
        <v>74</v>
      </c>
      <c r="D56">
        <v>79</v>
      </c>
      <c r="E56">
        <v>78</v>
      </c>
      <c r="F56">
        <v>76.75</v>
      </c>
    </row>
    <row r="57" spans="1:6" x14ac:dyDescent="0.25">
      <c r="A57" s="7" t="s">
        <v>92</v>
      </c>
      <c r="B57">
        <v>68</v>
      </c>
      <c r="C57">
        <v>71</v>
      </c>
      <c r="D57">
        <v>68</v>
      </c>
      <c r="E57">
        <v>67</v>
      </c>
      <c r="F57">
        <v>68.5</v>
      </c>
    </row>
    <row r="58" spans="1:6" x14ac:dyDescent="0.25">
      <c r="A58" s="7" t="s">
        <v>93</v>
      </c>
      <c r="B58">
        <v>72</v>
      </c>
      <c r="C58">
        <v>70</v>
      </c>
      <c r="D58">
        <v>74</v>
      </c>
      <c r="E58">
        <v>73</v>
      </c>
      <c r="F58">
        <v>72.25</v>
      </c>
    </row>
    <row r="59" spans="1:6" x14ac:dyDescent="0.25">
      <c r="A59" s="7" t="s">
        <v>31</v>
      </c>
      <c r="B59">
        <v>71</v>
      </c>
      <c r="C59">
        <v>76</v>
      </c>
      <c r="D59">
        <v>74</v>
      </c>
      <c r="E59">
        <v>76</v>
      </c>
      <c r="F59">
        <v>74.25</v>
      </c>
    </row>
    <row r="60" spans="1:6" x14ac:dyDescent="0.25">
      <c r="A60" s="7" t="s">
        <v>94</v>
      </c>
      <c r="B60">
        <v>75</v>
      </c>
      <c r="C60">
        <v>75</v>
      </c>
      <c r="D60">
        <v>74</v>
      </c>
      <c r="E60">
        <v>73</v>
      </c>
      <c r="F60">
        <v>74.25</v>
      </c>
    </row>
    <row r="61" spans="1:6" x14ac:dyDescent="0.25">
      <c r="A61" s="7" t="s">
        <v>95</v>
      </c>
      <c r="B61">
        <v>68</v>
      </c>
      <c r="C61">
        <v>67</v>
      </c>
      <c r="D61">
        <v>65</v>
      </c>
      <c r="E61">
        <v>64</v>
      </c>
      <c r="F61">
        <v>66</v>
      </c>
    </row>
    <row r="62" spans="1:6" x14ac:dyDescent="0.25">
      <c r="A62" s="7" t="s">
        <v>58</v>
      </c>
      <c r="B62">
        <v>62</v>
      </c>
      <c r="C62">
        <v>61</v>
      </c>
      <c r="D62">
        <v>65</v>
      </c>
      <c r="E62">
        <v>64</v>
      </c>
      <c r="F62">
        <v>63</v>
      </c>
    </row>
    <row r="63" spans="1:6" x14ac:dyDescent="0.25">
      <c r="A63" s="7" t="s">
        <v>59</v>
      </c>
      <c r="B63">
        <v>45</v>
      </c>
      <c r="C63">
        <v>52</v>
      </c>
      <c r="D63">
        <v>54</v>
      </c>
      <c r="E63">
        <v>53</v>
      </c>
      <c r="F63">
        <v>51</v>
      </c>
    </row>
    <row r="64" spans="1:6" x14ac:dyDescent="0.25">
      <c r="A64" s="7" t="s">
        <v>14</v>
      </c>
      <c r="B64">
        <v>71</v>
      </c>
      <c r="C64">
        <v>72</v>
      </c>
      <c r="D64">
        <v>71</v>
      </c>
      <c r="E64">
        <v>70</v>
      </c>
      <c r="F64">
        <v>71</v>
      </c>
    </row>
    <row r="65" spans="1:6" x14ac:dyDescent="0.25">
      <c r="A65" s="7" t="s">
        <v>48</v>
      </c>
      <c r="B65">
        <v>65</v>
      </c>
      <c r="C65">
        <v>63</v>
      </c>
      <c r="D65">
        <v>62</v>
      </c>
      <c r="E65">
        <v>60</v>
      </c>
      <c r="F65">
        <v>62.5</v>
      </c>
    </row>
    <row r="66" spans="1:6" x14ac:dyDescent="0.25">
      <c r="A66" s="7" t="s">
        <v>15</v>
      </c>
      <c r="B66">
        <v>57</v>
      </c>
      <c r="C66">
        <v>56</v>
      </c>
      <c r="D66">
        <v>60</v>
      </c>
      <c r="E66">
        <v>59</v>
      </c>
      <c r="F66">
        <v>58</v>
      </c>
    </row>
    <row r="67" spans="1:6" x14ac:dyDescent="0.25">
      <c r="A67" s="7" t="s">
        <v>32</v>
      </c>
      <c r="B67">
        <v>71</v>
      </c>
      <c r="C67">
        <v>70</v>
      </c>
      <c r="D67">
        <v>68</v>
      </c>
      <c r="E67">
        <v>67</v>
      </c>
      <c r="F67">
        <v>69</v>
      </c>
    </row>
    <row r="68" spans="1:6" x14ac:dyDescent="0.25">
      <c r="A68" s="7" t="s">
        <v>33</v>
      </c>
      <c r="B68">
        <v>84</v>
      </c>
      <c r="C68">
        <v>82</v>
      </c>
      <c r="D68">
        <v>80</v>
      </c>
      <c r="E68">
        <v>80</v>
      </c>
      <c r="F68">
        <v>81.5</v>
      </c>
    </row>
    <row r="69" spans="1:6" x14ac:dyDescent="0.25">
      <c r="A69" s="7" t="s">
        <v>76</v>
      </c>
      <c r="B69">
        <v>49</v>
      </c>
      <c r="C69">
        <v>50</v>
      </c>
      <c r="D69">
        <v>50</v>
      </c>
      <c r="E69">
        <v>49</v>
      </c>
      <c r="F69">
        <v>49.5</v>
      </c>
    </row>
    <row r="70" spans="1:6" x14ac:dyDescent="0.25">
      <c r="A70" s="7" t="s">
        <v>96</v>
      </c>
      <c r="B70">
        <v>83</v>
      </c>
      <c r="C70">
        <v>84</v>
      </c>
      <c r="D70">
        <v>83</v>
      </c>
      <c r="E70">
        <v>82</v>
      </c>
      <c r="F70">
        <v>83</v>
      </c>
    </row>
    <row r="71" spans="1:6" x14ac:dyDescent="0.25">
      <c r="A71" s="7" t="s">
        <v>115</v>
      </c>
      <c r="B71">
        <v>43</v>
      </c>
      <c r="C71">
        <v>55</v>
      </c>
      <c r="D71">
        <v>52</v>
      </c>
      <c r="E71">
        <v>51</v>
      </c>
      <c r="F71">
        <v>50.25</v>
      </c>
    </row>
    <row r="72" spans="1:6" x14ac:dyDescent="0.25">
      <c r="A72" s="7" t="s">
        <v>16</v>
      </c>
      <c r="B72">
        <v>64</v>
      </c>
      <c r="C72">
        <v>62</v>
      </c>
      <c r="D72">
        <v>60</v>
      </c>
      <c r="E72">
        <v>59</v>
      </c>
      <c r="F72">
        <v>61.25</v>
      </c>
    </row>
    <row r="73" spans="1:6" x14ac:dyDescent="0.25">
      <c r="A73" s="7" t="s">
        <v>34</v>
      </c>
      <c r="B73">
        <v>55</v>
      </c>
      <c r="C73">
        <v>56</v>
      </c>
      <c r="D73">
        <v>53</v>
      </c>
      <c r="E73">
        <v>52</v>
      </c>
      <c r="F73">
        <v>54</v>
      </c>
    </row>
    <row r="74" spans="1:6" x14ac:dyDescent="0.25">
      <c r="A74" s="7" t="s">
        <v>35</v>
      </c>
      <c r="B74">
        <v>59</v>
      </c>
      <c r="C74">
        <v>59</v>
      </c>
      <c r="D74">
        <v>60</v>
      </c>
      <c r="E74">
        <v>59</v>
      </c>
      <c r="F74">
        <v>59.25</v>
      </c>
    </row>
    <row r="75" spans="1:6" x14ac:dyDescent="0.25">
      <c r="A75" s="7" t="s">
        <v>36</v>
      </c>
      <c r="B75">
        <v>73</v>
      </c>
      <c r="C75">
        <v>71</v>
      </c>
      <c r="D75">
        <v>71</v>
      </c>
      <c r="E75">
        <v>69</v>
      </c>
      <c r="F75">
        <v>71</v>
      </c>
    </row>
    <row r="76" spans="1:6" x14ac:dyDescent="0.25">
      <c r="A76" s="7" t="s">
        <v>17</v>
      </c>
      <c r="B76">
        <v>77</v>
      </c>
      <c r="C76">
        <v>76</v>
      </c>
      <c r="D76">
        <v>76</v>
      </c>
      <c r="E76">
        <v>75</v>
      </c>
      <c r="F76">
        <v>76</v>
      </c>
    </row>
    <row r="77" spans="1:6" x14ac:dyDescent="0.25">
      <c r="A77" s="7" t="s">
        <v>77</v>
      </c>
      <c r="B77">
        <v>77</v>
      </c>
      <c r="C77">
        <v>76</v>
      </c>
      <c r="D77">
        <v>75</v>
      </c>
      <c r="E77">
        <v>74</v>
      </c>
      <c r="F77">
        <v>75.5</v>
      </c>
    </row>
    <row r="78" spans="1:6" x14ac:dyDescent="0.25">
      <c r="A78" s="7" t="s">
        <v>78</v>
      </c>
      <c r="B78">
        <v>69</v>
      </c>
      <c r="C78">
        <v>68</v>
      </c>
      <c r="D78">
        <v>68</v>
      </c>
      <c r="E78">
        <v>67</v>
      </c>
      <c r="F78">
        <v>68</v>
      </c>
    </row>
    <row r="79" spans="1:6" x14ac:dyDescent="0.25">
      <c r="A79" s="7" t="s">
        <v>37</v>
      </c>
      <c r="B79">
        <v>57</v>
      </c>
      <c r="C79">
        <v>61</v>
      </c>
      <c r="D79">
        <v>60</v>
      </c>
      <c r="E79">
        <v>59</v>
      </c>
      <c r="F79">
        <v>59.25</v>
      </c>
    </row>
    <row r="80" spans="1:6" x14ac:dyDescent="0.25">
      <c r="A80" s="7" t="s">
        <v>106</v>
      </c>
      <c r="B80">
        <v>61</v>
      </c>
      <c r="C80">
        <v>59</v>
      </c>
      <c r="D80">
        <v>59</v>
      </c>
      <c r="E80">
        <v>57</v>
      </c>
      <c r="F80">
        <v>59</v>
      </c>
    </row>
    <row r="81" spans="1:6" x14ac:dyDescent="0.25">
      <c r="A81" s="7" t="s">
        <v>116</v>
      </c>
      <c r="B81">
        <v>66</v>
      </c>
      <c r="C81">
        <v>66</v>
      </c>
      <c r="D81">
        <v>64</v>
      </c>
      <c r="E81">
        <v>63</v>
      </c>
      <c r="F81">
        <v>64.75</v>
      </c>
    </row>
    <row r="82" spans="1:6" x14ac:dyDescent="0.25">
      <c r="A82" s="7" t="s">
        <v>49</v>
      </c>
      <c r="B82">
        <v>77</v>
      </c>
      <c r="C82">
        <v>75</v>
      </c>
      <c r="D82">
        <v>73</v>
      </c>
      <c r="E82">
        <v>72</v>
      </c>
      <c r="F82">
        <v>74.25</v>
      </c>
    </row>
    <row r="83" spans="1:6" x14ac:dyDescent="0.25">
      <c r="A83" s="7" t="s">
        <v>50</v>
      </c>
      <c r="B83">
        <v>70</v>
      </c>
      <c r="C83">
        <v>72</v>
      </c>
      <c r="D83">
        <v>74</v>
      </c>
      <c r="E83">
        <v>73</v>
      </c>
      <c r="F83">
        <v>72.25</v>
      </c>
    </row>
    <row r="84" spans="1:6" x14ac:dyDescent="0.25">
      <c r="A84" s="7" t="s">
        <v>79</v>
      </c>
      <c r="B84">
        <v>61</v>
      </c>
      <c r="C84">
        <v>63</v>
      </c>
      <c r="D84">
        <v>63</v>
      </c>
      <c r="E84">
        <v>65</v>
      </c>
      <c r="F84">
        <v>63</v>
      </c>
    </row>
    <row r="85" spans="1:6" x14ac:dyDescent="0.25">
      <c r="A85" s="7" t="s">
        <v>80</v>
      </c>
      <c r="B85">
        <v>57</v>
      </c>
      <c r="C85">
        <v>57</v>
      </c>
      <c r="D85">
        <v>56</v>
      </c>
      <c r="E85">
        <v>55</v>
      </c>
      <c r="F85">
        <v>56.25</v>
      </c>
    </row>
    <row r="86" spans="1:6" x14ac:dyDescent="0.25">
      <c r="A86" s="7" t="s">
        <v>61</v>
      </c>
      <c r="B86">
        <v>74</v>
      </c>
      <c r="C86">
        <v>75</v>
      </c>
      <c r="D86">
        <v>75</v>
      </c>
      <c r="E86">
        <v>75</v>
      </c>
      <c r="F86">
        <v>74.75</v>
      </c>
    </row>
    <row r="87" spans="1:6" x14ac:dyDescent="0.25">
      <c r="A87" s="7" t="s">
        <v>97</v>
      </c>
      <c r="B87">
        <v>71</v>
      </c>
      <c r="C87">
        <v>73</v>
      </c>
      <c r="D87">
        <v>74</v>
      </c>
      <c r="E87">
        <v>71</v>
      </c>
      <c r="F87">
        <v>72.25</v>
      </c>
    </row>
    <row r="88" spans="1:6" x14ac:dyDescent="0.25">
      <c r="A88" s="7" t="s">
        <v>18</v>
      </c>
      <c r="B88">
        <v>55</v>
      </c>
      <c r="C88">
        <v>58</v>
      </c>
      <c r="D88">
        <v>57</v>
      </c>
      <c r="E88">
        <v>56</v>
      </c>
      <c r="F88">
        <v>56.5</v>
      </c>
    </row>
    <row r="89" spans="1:6" x14ac:dyDescent="0.25">
      <c r="A89" s="7" t="s">
        <v>81</v>
      </c>
      <c r="B89">
        <v>70</v>
      </c>
      <c r="C89">
        <v>73</v>
      </c>
      <c r="D89">
        <v>72</v>
      </c>
      <c r="E89">
        <v>71</v>
      </c>
      <c r="F89">
        <v>71.5</v>
      </c>
    </row>
    <row r="90" spans="1:6" x14ac:dyDescent="0.25">
      <c r="A90" s="7" t="s">
        <v>82</v>
      </c>
      <c r="B90">
        <v>76</v>
      </c>
      <c r="C90">
        <v>74</v>
      </c>
      <c r="D90">
        <v>73</v>
      </c>
      <c r="E90">
        <v>72</v>
      </c>
      <c r="F90">
        <v>73.75</v>
      </c>
    </row>
    <row r="91" spans="1:6" x14ac:dyDescent="0.25">
      <c r="A91" s="7" t="s">
        <v>38</v>
      </c>
      <c r="B91">
        <v>67</v>
      </c>
      <c r="C91">
        <v>65</v>
      </c>
      <c r="D91">
        <v>64</v>
      </c>
      <c r="E91">
        <v>63</v>
      </c>
      <c r="F91">
        <v>64.75</v>
      </c>
    </row>
    <row r="92" spans="1:6" x14ac:dyDescent="0.25">
      <c r="A92" s="7" t="s">
        <v>51</v>
      </c>
      <c r="B92">
        <v>62</v>
      </c>
      <c r="C92">
        <v>61</v>
      </c>
      <c r="D92">
        <v>60</v>
      </c>
      <c r="E92">
        <v>59</v>
      </c>
      <c r="F92">
        <v>60.5</v>
      </c>
    </row>
    <row r="93" spans="1:6" x14ac:dyDescent="0.25">
      <c r="A93" s="7" t="s">
        <v>39</v>
      </c>
      <c r="B93">
        <v>78</v>
      </c>
      <c r="C93">
        <v>77</v>
      </c>
      <c r="D93">
        <v>76</v>
      </c>
      <c r="E93">
        <v>75</v>
      </c>
      <c r="F93">
        <v>76.5</v>
      </c>
    </row>
    <row r="94" spans="1:6" x14ac:dyDescent="0.25">
      <c r="A94" s="7" t="s">
        <v>98</v>
      </c>
      <c r="B94">
        <v>73</v>
      </c>
      <c r="C94">
        <v>75</v>
      </c>
      <c r="D94">
        <v>74</v>
      </c>
      <c r="E94">
        <v>73</v>
      </c>
      <c r="F94">
        <v>73.75</v>
      </c>
    </row>
    <row r="95" spans="1:6" x14ac:dyDescent="0.25">
      <c r="A95" s="7" t="s">
        <v>99</v>
      </c>
      <c r="B95">
        <v>66</v>
      </c>
      <c r="C95">
        <v>65</v>
      </c>
      <c r="D95">
        <v>67</v>
      </c>
      <c r="E95">
        <v>71</v>
      </c>
      <c r="F95">
        <v>67.25</v>
      </c>
    </row>
    <row r="96" spans="1:6" x14ac:dyDescent="0.25">
      <c r="A96" s="7" t="s">
        <v>117</v>
      </c>
      <c r="B96">
        <v>61</v>
      </c>
      <c r="C96">
        <v>60</v>
      </c>
      <c r="D96">
        <v>61</v>
      </c>
      <c r="E96">
        <v>62</v>
      </c>
      <c r="F96">
        <v>61</v>
      </c>
    </row>
    <row r="97" spans="1:6" x14ac:dyDescent="0.25">
      <c r="A97" s="7" t="s">
        <v>100</v>
      </c>
      <c r="B97">
        <v>69</v>
      </c>
      <c r="C97">
        <v>67</v>
      </c>
      <c r="D97">
        <v>66</v>
      </c>
      <c r="E97">
        <v>65</v>
      </c>
      <c r="F97">
        <v>66.75</v>
      </c>
    </row>
    <row r="98" spans="1:6" x14ac:dyDescent="0.25">
      <c r="A98" s="7" t="s">
        <v>52</v>
      </c>
      <c r="B98">
        <v>59</v>
      </c>
      <c r="C98">
        <v>57</v>
      </c>
      <c r="D98">
        <v>55</v>
      </c>
      <c r="E98">
        <v>53</v>
      </c>
      <c r="F98">
        <v>56</v>
      </c>
    </row>
    <row r="99" spans="1:6" x14ac:dyDescent="0.25">
      <c r="A99" s="7" t="s">
        <v>118</v>
      </c>
      <c r="B99">
        <v>55</v>
      </c>
      <c r="C99">
        <v>52</v>
      </c>
      <c r="D99">
        <v>55</v>
      </c>
      <c r="E99">
        <v>54</v>
      </c>
      <c r="F99">
        <v>54</v>
      </c>
    </row>
    <row r="100" spans="1:6" x14ac:dyDescent="0.25">
      <c r="A100" s="7" t="s">
        <v>107</v>
      </c>
      <c r="B100">
        <v>81</v>
      </c>
      <c r="C100">
        <v>82</v>
      </c>
      <c r="D100">
        <v>80</v>
      </c>
      <c r="E100">
        <v>79</v>
      </c>
      <c r="F100">
        <v>80.5</v>
      </c>
    </row>
    <row r="101" spans="1:6" x14ac:dyDescent="0.25">
      <c r="A101" s="7" t="s">
        <v>119</v>
      </c>
      <c r="B101">
        <v>68</v>
      </c>
      <c r="C101">
        <v>62</v>
      </c>
      <c r="D101">
        <v>60</v>
      </c>
      <c r="E101">
        <v>59</v>
      </c>
      <c r="F101">
        <v>62.25</v>
      </c>
    </row>
    <row r="102" spans="1:6" x14ac:dyDescent="0.25">
      <c r="A102" s="7" t="s">
        <v>120</v>
      </c>
      <c r="B102">
        <v>53</v>
      </c>
      <c r="C102">
        <v>55</v>
      </c>
      <c r="D102">
        <v>54</v>
      </c>
      <c r="E102">
        <v>52</v>
      </c>
      <c r="F102">
        <v>53.5</v>
      </c>
    </row>
    <row r="103" spans="1:6" x14ac:dyDescent="0.25">
      <c r="A103" s="7" t="s">
        <v>83</v>
      </c>
      <c r="B103">
        <v>76</v>
      </c>
      <c r="C103">
        <v>77</v>
      </c>
      <c r="D103">
        <v>76</v>
      </c>
      <c r="E103">
        <v>75</v>
      </c>
      <c r="F103">
        <v>76</v>
      </c>
    </row>
    <row r="104" spans="1:6" x14ac:dyDescent="0.25">
      <c r="A104" s="7" t="s">
        <v>108</v>
      </c>
      <c r="B104">
        <v>52</v>
      </c>
      <c r="C104">
        <v>55</v>
      </c>
      <c r="D104">
        <v>52</v>
      </c>
      <c r="E104">
        <v>50</v>
      </c>
      <c r="F104">
        <v>52.25</v>
      </c>
    </row>
    <row r="105" spans="1:6" x14ac:dyDescent="0.25">
      <c r="A105" s="7" t="s">
        <v>101</v>
      </c>
      <c r="B105">
        <v>77</v>
      </c>
      <c r="C105">
        <v>74</v>
      </c>
      <c r="D105">
        <v>74</v>
      </c>
      <c r="E105">
        <v>74</v>
      </c>
      <c r="F105">
        <v>74.75</v>
      </c>
    </row>
    <row r="106" spans="1:6" x14ac:dyDescent="0.25">
      <c r="A106" s="7" t="s">
        <v>53</v>
      </c>
      <c r="B106">
        <v>71</v>
      </c>
      <c r="C106">
        <v>73</v>
      </c>
      <c r="D106">
        <v>75</v>
      </c>
      <c r="E106">
        <v>74</v>
      </c>
      <c r="F106">
        <v>73.25</v>
      </c>
    </row>
    <row r="107" spans="1:6" x14ac:dyDescent="0.25">
      <c r="A107" s="7" t="s">
        <v>19</v>
      </c>
      <c r="B107">
        <v>69</v>
      </c>
      <c r="C107">
        <v>67</v>
      </c>
      <c r="D107">
        <v>65</v>
      </c>
      <c r="E107">
        <v>64</v>
      </c>
      <c r="F107">
        <v>66.25</v>
      </c>
    </row>
    <row r="108" spans="1:6" x14ac:dyDescent="0.25">
      <c r="A108" s="7" t="s">
        <v>109</v>
      </c>
      <c r="B108">
        <v>74</v>
      </c>
      <c r="C108">
        <v>72</v>
      </c>
      <c r="D108">
        <v>74</v>
      </c>
      <c r="E108">
        <v>72</v>
      </c>
      <c r="F108">
        <v>73</v>
      </c>
    </row>
    <row r="109" spans="1:6" x14ac:dyDescent="0.25">
      <c r="A109" s="7" t="s">
        <v>110</v>
      </c>
      <c r="B109">
        <v>46</v>
      </c>
      <c r="C109">
        <v>43</v>
      </c>
      <c r="D109">
        <v>44</v>
      </c>
      <c r="E109">
        <v>42</v>
      </c>
      <c r="F109">
        <v>43.75</v>
      </c>
    </row>
    <row r="110" spans="1:6" x14ac:dyDescent="0.25">
      <c r="A110" s="7" t="s">
        <v>40</v>
      </c>
      <c r="B110">
        <v>70</v>
      </c>
      <c r="C110">
        <v>69</v>
      </c>
      <c r="D110">
        <v>71</v>
      </c>
      <c r="E110">
        <v>70</v>
      </c>
      <c r="F110">
        <v>70</v>
      </c>
    </row>
    <row r="111" spans="1:6" x14ac:dyDescent="0.25">
      <c r="A111" s="7" t="s">
        <v>121</v>
      </c>
      <c r="B111">
        <v>73</v>
      </c>
      <c r="C111">
        <v>70</v>
      </c>
      <c r="D111">
        <v>68</v>
      </c>
      <c r="E111">
        <v>67</v>
      </c>
      <c r="F111">
        <v>69.5</v>
      </c>
    </row>
    <row r="112" spans="1:6" x14ac:dyDescent="0.25">
      <c r="A112" s="7" t="s">
        <v>84</v>
      </c>
      <c r="B112">
        <v>74</v>
      </c>
      <c r="C112">
        <v>75</v>
      </c>
      <c r="D112">
        <v>73</v>
      </c>
      <c r="E112">
        <v>72</v>
      </c>
      <c r="F112">
        <v>73.5</v>
      </c>
    </row>
    <row r="113" spans="1:6" x14ac:dyDescent="0.25">
      <c r="A113" s="7" t="s">
        <v>60</v>
      </c>
      <c r="B113">
        <v>79</v>
      </c>
      <c r="C113">
        <v>79</v>
      </c>
      <c r="D113">
        <v>80</v>
      </c>
      <c r="E113">
        <v>79</v>
      </c>
      <c r="F113">
        <v>79.25</v>
      </c>
    </row>
    <row r="114" spans="1:6" x14ac:dyDescent="0.25">
      <c r="A114" s="7" t="s">
        <v>131</v>
      </c>
      <c r="B114">
        <v>67.899082568807344</v>
      </c>
      <c r="C114">
        <v>67.954128440366972</v>
      </c>
      <c r="D114">
        <v>67.761467889908261</v>
      </c>
      <c r="E114">
        <v>66.761467889908261</v>
      </c>
      <c r="F114">
        <v>67.594036697247702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3D91-27C0-4357-B3A2-0B0D313BBDDA}">
  <dimension ref="A1:J110"/>
  <sheetViews>
    <sheetView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59" sqref="O59"/>
    </sheetView>
  </sheetViews>
  <sheetFormatPr defaultRowHeight="15" x14ac:dyDescent="0.25"/>
  <cols>
    <col min="1" max="1" width="16.42578125" bestFit="1" customWidth="1"/>
    <col min="2" max="2" width="18.5703125" bestFit="1" customWidth="1"/>
    <col min="3" max="5" width="19.42578125" style="9" bestFit="1" customWidth="1"/>
    <col min="6" max="6" width="17.140625" style="9" customWidth="1"/>
    <col min="7" max="7" width="25.7109375" bestFit="1" customWidth="1"/>
    <col min="8" max="8" width="25.42578125" customWidth="1"/>
    <col min="9" max="9" width="31" customWidth="1"/>
    <col min="10" max="10" width="41.42578125" style="9" customWidth="1"/>
  </cols>
  <sheetData>
    <row r="1" spans="1:10" x14ac:dyDescent="0.25">
      <c r="A1" s="4" t="s">
        <v>0</v>
      </c>
      <c r="B1" s="4" t="s">
        <v>1</v>
      </c>
      <c r="C1" s="8" t="s">
        <v>122</v>
      </c>
      <c r="D1" s="8" t="s">
        <v>123</v>
      </c>
      <c r="E1" s="8" t="s">
        <v>124</v>
      </c>
      <c r="F1" s="10" t="s">
        <v>125</v>
      </c>
      <c r="G1" s="14" t="s">
        <v>132</v>
      </c>
      <c r="H1" s="11" t="s">
        <v>130</v>
      </c>
      <c r="I1" s="13" t="s">
        <v>129</v>
      </c>
      <c r="J1" s="13" t="s">
        <v>133</v>
      </c>
    </row>
    <row r="2" spans="1:10" x14ac:dyDescent="0.25">
      <c r="A2" t="s">
        <v>4</v>
      </c>
      <c r="B2" t="str">
        <f>INDEX('DevMecca SS PCI Export'!$B:$B,MATCH('MTC Regional PCIs 2022-2025'!$A2,'DevMecca SS PCI Export'!$A:$A,0))</f>
        <v>Alameda County</v>
      </c>
      <c r="C2" s="9">
        <f>INDEX('SS PCI PivotTable'!$B:$B,MATCH('MTC Regional PCIs 2022-2025'!$A2,'SS PCI PivotTable'!$A:$A,0))</f>
        <v>67</v>
      </c>
      <c r="D2" s="9">
        <f>INDEX('SS PCI PivotTable'!$C:$C,MATCH('MTC Regional PCIs 2022-2025'!$A2,'SS PCI PivotTable'!$A:$A,0))</f>
        <v>65</v>
      </c>
      <c r="E2" s="9">
        <f>INDEX('SS PCI PivotTable'!$D:$D,MATCH('MTC Regional PCIs 2022-2025'!$A2,'SS PCI PivotTable'!$A:$A,0))</f>
        <v>64</v>
      </c>
      <c r="F2" s="9">
        <f>INDEX('SS PCI PivotTable'!$E:$E,MATCH('MTC Regional PCIs 2022-2025'!$A2,'SS PCI PivotTable'!$A:$A,0))</f>
        <v>63</v>
      </c>
      <c r="G2" s="12">
        <f>AVERAGE($C2:$E2)</f>
        <v>65.333333333333329</v>
      </c>
      <c r="H2" s="12">
        <f>AVERAGE($D2:$F2)</f>
        <v>64</v>
      </c>
      <c r="I2" s="9" t="str">
        <f>IF($G2&gt;$F2,"TRUE","FALSE")</f>
        <v>TRUE</v>
      </c>
      <c r="J2" s="12">
        <f>$G2-$F2</f>
        <v>2.3333333333333286</v>
      </c>
    </row>
    <row r="3" spans="1:10" x14ac:dyDescent="0.25">
      <c r="A3" t="s">
        <v>6</v>
      </c>
      <c r="B3" t="str">
        <f>INDEX('DevMecca SS PCI Export'!$B:$B,MATCH('MTC Regional PCIs 2022-2025'!$A3,'DevMecca SS PCI Export'!$A:$A,0))</f>
        <v>Alameda County</v>
      </c>
      <c r="C3" s="9">
        <f>INDEX('SS PCI PivotTable'!$B:$B,MATCH('MTC Regional PCIs 2022-2025'!$A3,'SS PCI PivotTable'!$A:$A,0))</f>
        <v>74</v>
      </c>
      <c r="D3" s="9">
        <f>INDEX('SS PCI PivotTable'!$C:$C,MATCH('MTC Regional PCIs 2022-2025'!$A3,'SS PCI PivotTable'!$A:$A,0))</f>
        <v>72</v>
      </c>
      <c r="E3" s="9">
        <f>INDEX('SS PCI PivotTable'!$D:$D,MATCH('MTC Regional PCIs 2022-2025'!$A3,'SS PCI PivotTable'!$A:$A,0))</f>
        <v>74</v>
      </c>
      <c r="F3" s="9">
        <f>INDEX('SS PCI PivotTable'!$E:$E,MATCH('MTC Regional PCIs 2022-2025'!$A3,'SS PCI PivotTable'!$A:$A,0))</f>
        <v>73</v>
      </c>
      <c r="G3" s="12">
        <f t="shared" ref="G3:G13" si="0">AVERAGE($C3:$E3)</f>
        <v>73.333333333333329</v>
      </c>
      <c r="H3" s="12">
        <f t="shared" ref="H3:H66" si="1">AVERAGE($D3:$F3)</f>
        <v>73</v>
      </c>
      <c r="I3" s="9" t="str">
        <f t="shared" ref="I3:I66" si="2">IF($G3&gt;$F3,"TRUE","FALSE")</f>
        <v>TRUE</v>
      </c>
      <c r="J3" s="12">
        <f t="shared" ref="J3:J66" si="3">$G3-$F3</f>
        <v>0.3333333333333286</v>
      </c>
    </row>
    <row r="4" spans="1:10" x14ac:dyDescent="0.25">
      <c r="A4" t="s">
        <v>7</v>
      </c>
      <c r="B4" t="str">
        <f>INDEX('DevMecca SS PCI Export'!$B:$B,MATCH('MTC Regional PCIs 2022-2025'!$A4,'DevMecca SS PCI Export'!$A:$A,0))</f>
        <v>Alameda County</v>
      </c>
      <c r="C4" s="9">
        <f>INDEX('SS PCI PivotTable'!$B:$B,MATCH('MTC Regional PCIs 2022-2025'!$A4,'SS PCI PivotTable'!$A:$A,0))</f>
        <v>59</v>
      </c>
      <c r="D4" s="9">
        <f>INDEX('SS PCI PivotTable'!$C:$C,MATCH('MTC Regional PCIs 2022-2025'!$A4,'SS PCI PivotTable'!$A:$A,0))</f>
        <v>58</v>
      </c>
      <c r="E4" s="9">
        <f>INDEX('SS PCI PivotTable'!$D:$D,MATCH('MTC Regional PCIs 2022-2025'!$A4,'SS PCI PivotTable'!$A:$A,0))</f>
        <v>59</v>
      </c>
      <c r="F4" s="9">
        <f>INDEX('SS PCI PivotTable'!$E:$E,MATCH('MTC Regional PCIs 2022-2025'!$A4,'SS PCI PivotTable'!$A:$A,0))</f>
        <v>58</v>
      </c>
      <c r="G4" s="12">
        <f t="shared" si="0"/>
        <v>58.666666666666664</v>
      </c>
      <c r="H4" s="12">
        <f t="shared" si="1"/>
        <v>58.333333333333336</v>
      </c>
      <c r="I4" s="9" t="str">
        <f t="shared" si="2"/>
        <v>TRUE</v>
      </c>
      <c r="J4" s="12">
        <f t="shared" si="3"/>
        <v>0.6666666666666643</v>
      </c>
    </row>
    <row r="5" spans="1:10" x14ac:dyDescent="0.25">
      <c r="A5" t="s">
        <v>54</v>
      </c>
      <c r="B5" t="str">
        <f>INDEX('DevMecca SS PCI Export'!$B:$B,MATCH('MTC Regional PCIs 2022-2025'!$A5,'DevMecca SS PCI Export'!$A:$A,0))</f>
        <v>Napa County</v>
      </c>
      <c r="C5" s="9">
        <f>INDEX('SS PCI PivotTable'!$B:$B,MATCH('MTC Regional PCIs 2022-2025'!$A5,'SS PCI PivotTable'!$A:$A,0))</f>
        <v>60</v>
      </c>
      <c r="D5" s="9">
        <f>INDEX('SS PCI PivotTable'!$C:$C,MATCH('MTC Regional PCIs 2022-2025'!$A5,'SS PCI PivotTable'!$A:$A,0))</f>
        <v>59</v>
      </c>
      <c r="E5" s="9">
        <f>INDEX('SS PCI PivotTable'!$D:$D,MATCH('MTC Regional PCIs 2022-2025'!$A5,'SS PCI PivotTable'!$A:$A,0))</f>
        <v>56</v>
      </c>
      <c r="F5" s="9">
        <f>INDEX('SS PCI PivotTable'!$E:$E,MATCH('MTC Regional PCIs 2022-2025'!$A5,'SS PCI PivotTable'!$A:$A,0))</f>
        <v>55</v>
      </c>
      <c r="G5" s="12">
        <f t="shared" si="0"/>
        <v>58.333333333333336</v>
      </c>
      <c r="H5" s="12">
        <f t="shared" si="1"/>
        <v>56.666666666666664</v>
      </c>
      <c r="I5" s="9" t="str">
        <f t="shared" si="2"/>
        <v>TRUE</v>
      </c>
      <c r="J5" s="12">
        <f t="shared" si="3"/>
        <v>3.3333333333333357</v>
      </c>
    </row>
    <row r="6" spans="1:10" x14ac:dyDescent="0.25">
      <c r="A6" t="s">
        <v>20</v>
      </c>
      <c r="B6" t="str">
        <f>INDEX('DevMecca SS PCI Export'!$B:$B,MATCH('MTC Regional PCIs 2022-2025'!$A6,'DevMecca SS PCI Export'!$A:$A,0))</f>
        <v>Contra Costa County</v>
      </c>
      <c r="C6" s="9">
        <f>INDEX('SS PCI PivotTable'!$B:$B,MATCH('MTC Regional PCIs 2022-2025'!$A6,'SS PCI PivotTable'!$A:$A,0))</f>
        <v>65</v>
      </c>
      <c r="D6" s="9">
        <f>INDEX('SS PCI PivotTable'!$C:$C,MATCH('MTC Regional PCIs 2022-2025'!$A6,'SS PCI PivotTable'!$A:$A,0))</f>
        <v>63</v>
      </c>
      <c r="E6" s="9">
        <f>INDEX('SS PCI PivotTable'!$D:$D,MATCH('MTC Regional PCIs 2022-2025'!$A6,'SS PCI PivotTable'!$A:$A,0))</f>
        <v>61</v>
      </c>
      <c r="F6" s="9">
        <f>INDEX('SS PCI PivotTable'!$E:$E,MATCH('MTC Regional PCIs 2022-2025'!$A6,'SS PCI PivotTable'!$A:$A,0))</f>
        <v>60</v>
      </c>
      <c r="G6" s="12">
        <f t="shared" si="0"/>
        <v>63</v>
      </c>
      <c r="H6" s="12">
        <f t="shared" si="1"/>
        <v>61.333333333333336</v>
      </c>
      <c r="I6" s="9" t="str">
        <f t="shared" si="2"/>
        <v>TRUE</v>
      </c>
      <c r="J6" s="12">
        <f t="shared" si="3"/>
        <v>3</v>
      </c>
    </row>
    <row r="7" spans="1:10" x14ac:dyDescent="0.25">
      <c r="A7" t="s">
        <v>63</v>
      </c>
      <c r="B7" t="str">
        <f>INDEX('DevMecca SS PCI Export'!$B:$B,MATCH('MTC Regional PCIs 2022-2025'!$A7,'DevMecca SS PCI Export'!$A:$A,0))</f>
        <v>San Mateo County</v>
      </c>
      <c r="C7" s="9">
        <f>INDEX('SS PCI PivotTable'!$B:$B,MATCH('MTC Regional PCIs 2022-2025'!$A7,'SS PCI PivotTable'!$A:$A,0))</f>
        <v>75</v>
      </c>
      <c r="D7" s="9">
        <f>INDEX('SS PCI PivotTable'!$C:$C,MATCH('MTC Regional PCIs 2022-2025'!$A7,'SS PCI PivotTable'!$A:$A,0))</f>
        <v>73</v>
      </c>
      <c r="E7" s="9">
        <f>INDEX('SS PCI PivotTable'!$D:$D,MATCH('MTC Regional PCIs 2022-2025'!$A7,'SS PCI PivotTable'!$A:$A,0))</f>
        <v>79</v>
      </c>
      <c r="F7" s="9">
        <f>INDEX('SS PCI PivotTable'!$E:$E,MATCH('MTC Regional PCIs 2022-2025'!$A7,'SS PCI PivotTable'!$A:$A,0))</f>
        <v>78</v>
      </c>
      <c r="G7" s="12">
        <f t="shared" si="0"/>
        <v>75.666666666666671</v>
      </c>
      <c r="H7" s="12">
        <f t="shared" si="1"/>
        <v>76.666666666666671</v>
      </c>
      <c r="I7" s="9" t="str">
        <f t="shared" si="2"/>
        <v>FALSE</v>
      </c>
      <c r="J7" s="12">
        <f t="shared" si="3"/>
        <v>-2.3333333333333286</v>
      </c>
    </row>
    <row r="8" spans="1:10" x14ac:dyDescent="0.25">
      <c r="A8" t="s">
        <v>65</v>
      </c>
      <c r="B8" t="str">
        <f>INDEX('DevMecca SS PCI Export'!$B:$B,MATCH('MTC Regional PCIs 2022-2025'!$A8,'DevMecca SS PCI Export'!$A:$A,0))</f>
        <v>San Mateo County</v>
      </c>
      <c r="C8" s="9">
        <f>INDEX('SS PCI PivotTable'!$B:$B,MATCH('MTC Regional PCIs 2022-2025'!$A8,'SS PCI PivotTable'!$A:$A,0))</f>
        <v>65</v>
      </c>
      <c r="D8" s="9">
        <f>INDEX('SS PCI PivotTable'!$C:$C,MATCH('MTC Regional PCIs 2022-2025'!$A8,'SS PCI PivotTable'!$A:$A,0))</f>
        <v>68</v>
      </c>
      <c r="E8" s="9">
        <f>INDEX('SS PCI PivotTable'!$D:$D,MATCH('MTC Regional PCIs 2022-2025'!$A8,'SS PCI PivotTable'!$A:$A,0))</f>
        <v>70</v>
      </c>
      <c r="F8" s="9">
        <f>INDEX('SS PCI PivotTable'!$E:$E,MATCH('MTC Regional PCIs 2022-2025'!$A8,'SS PCI PivotTable'!$A:$A,0))</f>
        <v>69</v>
      </c>
      <c r="G8" s="12">
        <f t="shared" si="0"/>
        <v>67.666666666666671</v>
      </c>
      <c r="H8" s="12">
        <f t="shared" si="1"/>
        <v>69</v>
      </c>
      <c r="I8" s="9" t="str">
        <f t="shared" si="2"/>
        <v>FALSE</v>
      </c>
      <c r="J8" s="12">
        <f t="shared" si="3"/>
        <v>-1.3333333333333286</v>
      </c>
    </row>
    <row r="9" spans="1:10" x14ac:dyDescent="0.25">
      <c r="A9" t="s">
        <v>41</v>
      </c>
      <c r="B9" t="str">
        <f>INDEX('DevMecca SS PCI Export'!$B:$B,MATCH('MTC Regional PCIs 2022-2025'!$A9,'DevMecca SS PCI Export'!$A:$A,0))</f>
        <v>Marin County</v>
      </c>
      <c r="C9" s="9">
        <f>INDEX('SS PCI PivotTable'!$B:$B,MATCH('MTC Regional PCIs 2022-2025'!$A9,'SS PCI PivotTable'!$A:$A,0))</f>
        <v>70</v>
      </c>
      <c r="D9" s="9">
        <f>INDEX('SS PCI PivotTable'!$C:$C,MATCH('MTC Regional PCIs 2022-2025'!$A9,'SS PCI PivotTable'!$A:$A,0))</f>
        <v>73</v>
      </c>
      <c r="E9" s="9">
        <f>INDEX('SS PCI PivotTable'!$D:$D,MATCH('MTC Regional PCIs 2022-2025'!$A9,'SS PCI PivotTable'!$A:$A,0))</f>
        <v>72</v>
      </c>
      <c r="F9" s="9">
        <f>INDEX('SS PCI PivotTable'!$E:$E,MATCH('MTC Regional PCIs 2022-2025'!$A9,'SS PCI PivotTable'!$A:$A,0))</f>
        <v>71</v>
      </c>
      <c r="G9" s="12">
        <f t="shared" si="0"/>
        <v>71.666666666666671</v>
      </c>
      <c r="H9" s="12">
        <f t="shared" si="1"/>
        <v>72</v>
      </c>
      <c r="I9" s="9" t="str">
        <f t="shared" si="2"/>
        <v>TRUE</v>
      </c>
      <c r="J9" s="12">
        <f t="shared" si="3"/>
        <v>0.6666666666666714</v>
      </c>
    </row>
    <row r="10" spans="1:10" x14ac:dyDescent="0.25">
      <c r="A10" t="s">
        <v>102</v>
      </c>
      <c r="B10" t="str">
        <f>INDEX('DevMecca SS PCI Export'!$B:$B,MATCH('MTC Regional PCIs 2022-2025'!$A10,'DevMecca SS PCI Export'!$A:$A,0))</f>
        <v>Solano County</v>
      </c>
      <c r="C10" s="9">
        <f>INDEX('SS PCI PivotTable'!$B:$B,MATCH('MTC Regional PCIs 2022-2025'!$A10,'SS PCI PivotTable'!$A:$A,0))</f>
        <v>52</v>
      </c>
      <c r="D10" s="9">
        <f>INDEX('SS PCI PivotTable'!$C:$C,MATCH('MTC Regional PCIs 2022-2025'!$A10,'SS PCI PivotTable'!$A:$A,0))</f>
        <v>55</v>
      </c>
      <c r="E10" s="9">
        <f>INDEX('SS PCI PivotTable'!$D:$D,MATCH('MTC Regional PCIs 2022-2025'!$A10,'SS PCI PivotTable'!$A:$A,0))</f>
        <v>53</v>
      </c>
      <c r="F10" s="9">
        <f>INDEX('SS PCI PivotTable'!$E:$E,MATCH('MTC Regional PCIs 2022-2025'!$A10,'SS PCI PivotTable'!$A:$A,0))</f>
        <v>52</v>
      </c>
      <c r="G10" s="12">
        <f t="shared" si="0"/>
        <v>53.333333333333336</v>
      </c>
      <c r="H10" s="12">
        <f t="shared" si="1"/>
        <v>53.333333333333336</v>
      </c>
      <c r="I10" s="9" t="str">
        <f t="shared" si="2"/>
        <v>TRUE</v>
      </c>
      <c r="J10" s="12">
        <f t="shared" si="3"/>
        <v>1.3333333333333357</v>
      </c>
    </row>
    <row r="11" spans="1:10" x14ac:dyDescent="0.25">
      <c r="A11" t="s">
        <v>8</v>
      </c>
      <c r="B11" t="str">
        <f>INDEX('DevMecca SS PCI Export'!$B:$B,MATCH('MTC Regional PCIs 2022-2025'!$A11,'DevMecca SS PCI Export'!$A:$A,0))</f>
        <v>Alameda County</v>
      </c>
      <c r="C11" s="9">
        <f>INDEX('SS PCI PivotTable'!$B:$B,MATCH('MTC Regional PCIs 2022-2025'!$A11,'SS PCI PivotTable'!$A:$A,0))</f>
        <v>56</v>
      </c>
      <c r="D11" s="9">
        <f>INDEX('SS PCI PivotTable'!$C:$C,MATCH('MTC Regional PCIs 2022-2025'!$A11,'SS PCI PivotTable'!$A:$A,0))</f>
        <v>55</v>
      </c>
      <c r="E11" s="9">
        <f>INDEX('SS PCI PivotTable'!$D:$D,MATCH('MTC Regional PCIs 2022-2025'!$A11,'SS PCI PivotTable'!$A:$A,0))</f>
        <v>57</v>
      </c>
      <c r="F11" s="9">
        <f>INDEX('SS PCI PivotTable'!$E:$E,MATCH('MTC Regional PCIs 2022-2025'!$A11,'SS PCI PivotTable'!$A:$A,0))</f>
        <v>56</v>
      </c>
      <c r="G11" s="12">
        <f t="shared" si="0"/>
        <v>56</v>
      </c>
      <c r="H11" s="12">
        <f t="shared" si="1"/>
        <v>56</v>
      </c>
      <c r="I11" s="9" t="str">
        <f t="shared" si="2"/>
        <v>FALSE</v>
      </c>
      <c r="J11" s="12">
        <f t="shared" si="3"/>
        <v>0</v>
      </c>
    </row>
    <row r="12" spans="1:10" x14ac:dyDescent="0.25">
      <c r="A12" t="s">
        <v>22</v>
      </c>
      <c r="B12" t="str">
        <f>INDEX('DevMecca SS PCI Export'!$B:$B,MATCH('MTC Regional PCIs 2022-2025'!$A12,'DevMecca SS PCI Export'!$A:$A,0))</f>
        <v>Contra Costa County</v>
      </c>
      <c r="C12" s="9">
        <f>INDEX('SS PCI PivotTable'!$B:$B,MATCH('MTC Regional PCIs 2022-2025'!$A12,'SS PCI PivotTable'!$A:$A,0))</f>
        <v>79</v>
      </c>
      <c r="D12" s="9">
        <f>INDEX('SS PCI PivotTable'!$C:$C,MATCH('MTC Regional PCIs 2022-2025'!$A12,'SS PCI PivotTable'!$A:$A,0))</f>
        <v>78</v>
      </c>
      <c r="E12" s="9">
        <f>INDEX('SS PCI PivotTable'!$D:$D,MATCH('MTC Regional PCIs 2022-2025'!$A12,'SS PCI PivotTable'!$A:$A,0))</f>
        <v>76</v>
      </c>
      <c r="F12" s="9">
        <f>INDEX('SS PCI PivotTable'!$E:$E,MATCH('MTC Regional PCIs 2022-2025'!$A12,'SS PCI PivotTable'!$A:$A,0))</f>
        <v>75</v>
      </c>
      <c r="G12" s="12">
        <f t="shared" si="0"/>
        <v>77.666666666666671</v>
      </c>
      <c r="H12" s="12">
        <f t="shared" si="1"/>
        <v>76.333333333333329</v>
      </c>
      <c r="I12" s="9" t="str">
        <f t="shared" si="2"/>
        <v>TRUE</v>
      </c>
      <c r="J12" s="12">
        <f t="shared" si="3"/>
        <v>2.6666666666666714</v>
      </c>
    </row>
    <row r="13" spans="1:10" x14ac:dyDescent="0.25">
      <c r="A13" t="s">
        <v>66</v>
      </c>
      <c r="B13" t="str">
        <f>INDEX('DevMecca SS PCI Export'!$B:$B,MATCH('MTC Regional PCIs 2022-2025'!$A13,'DevMecca SS PCI Export'!$A:$A,0))</f>
        <v>San Mateo County</v>
      </c>
      <c r="C13" s="9">
        <f>INDEX('SS PCI PivotTable'!$B:$B,MATCH('MTC Regional PCIs 2022-2025'!$A13,'SS PCI PivotTable'!$A:$A,0))</f>
        <v>74</v>
      </c>
      <c r="D13" s="9">
        <f>INDEX('SS PCI PivotTable'!$C:$C,MATCH('MTC Regional PCIs 2022-2025'!$A13,'SS PCI PivotTable'!$A:$A,0))</f>
        <v>72</v>
      </c>
      <c r="E13" s="9">
        <f>INDEX('SS PCI PivotTable'!$D:$D,MATCH('MTC Regional PCIs 2022-2025'!$A13,'SS PCI PivotTable'!$A:$A,0))</f>
        <v>71</v>
      </c>
      <c r="F13" s="9">
        <f>INDEX('SS PCI PivotTable'!$E:$E,MATCH('MTC Regional PCIs 2022-2025'!$A13,'SS PCI PivotTable'!$A:$A,0))</f>
        <v>69</v>
      </c>
      <c r="G13" s="12">
        <f t="shared" si="0"/>
        <v>72.333333333333329</v>
      </c>
      <c r="H13" s="12">
        <f t="shared" si="1"/>
        <v>70.666666666666671</v>
      </c>
      <c r="I13" s="9" t="str">
        <f t="shared" si="2"/>
        <v>TRUE</v>
      </c>
      <c r="J13" s="12">
        <f t="shared" si="3"/>
        <v>3.3333333333333286</v>
      </c>
    </row>
    <row r="14" spans="1:10" x14ac:dyDescent="0.25">
      <c r="A14" t="s">
        <v>67</v>
      </c>
      <c r="B14" t="str">
        <f>INDEX('DevMecca SS PCI Export'!$B:$B,MATCH('MTC Regional PCIs 2022-2025'!$A14,'DevMecca SS PCI Export'!$A:$A,0))</f>
        <v>San Mateo County</v>
      </c>
      <c r="C14" s="9">
        <f>INDEX('SS PCI PivotTable'!$B:$B,MATCH('MTC Regional PCIs 2022-2025'!$A14,'SS PCI PivotTable'!$A:$A,0))</f>
        <v>77</v>
      </c>
      <c r="D14" s="9">
        <f>INDEX('SS PCI PivotTable'!$C:$C,MATCH('MTC Regional PCIs 2022-2025'!$A14,'SS PCI PivotTable'!$A:$A,0))</f>
        <v>76</v>
      </c>
      <c r="E14" s="9">
        <f>INDEX('SS PCI PivotTable'!$D:$D,MATCH('MTC Regional PCIs 2022-2025'!$A14,'SS PCI PivotTable'!$A:$A,0))</f>
        <v>75</v>
      </c>
      <c r="F14" s="9">
        <f>INDEX('SS PCI PivotTable'!$E:$E,MATCH('MTC Regional PCIs 2022-2025'!$A14,'SS PCI PivotTable'!$A:$A,0))</f>
        <v>74</v>
      </c>
      <c r="G14" s="12">
        <f>AVERAGE($C14:$E14)</f>
        <v>76</v>
      </c>
      <c r="H14" s="12">
        <f t="shared" si="1"/>
        <v>75</v>
      </c>
      <c r="I14" s="9" t="str">
        <f t="shared" si="2"/>
        <v>TRUE</v>
      </c>
      <c r="J14" s="12">
        <f t="shared" si="3"/>
        <v>2</v>
      </c>
    </row>
    <row r="15" spans="1:10" x14ac:dyDescent="0.25">
      <c r="A15" t="s">
        <v>56</v>
      </c>
      <c r="B15" t="str">
        <f>INDEX('DevMecca SS PCI Export'!$B:$B,MATCH('MTC Regional PCIs 2022-2025'!$A15,'DevMecca SS PCI Export'!$A:$A,0))</f>
        <v>Napa County</v>
      </c>
      <c r="C15" s="9">
        <f>INDEX('SS PCI PivotTable'!$B:$B,MATCH('MTC Regional PCIs 2022-2025'!$A15,'SS PCI PivotTable'!$A:$A,0))</f>
        <v>59</v>
      </c>
      <c r="D15" s="9">
        <f>INDEX('SS PCI PivotTable'!$C:$C,MATCH('MTC Regional PCIs 2022-2025'!$A15,'SS PCI PivotTable'!$A:$A,0))</f>
        <v>57</v>
      </c>
      <c r="E15" s="9">
        <f>INDEX('SS PCI PivotTable'!$D:$D,MATCH('MTC Regional PCIs 2022-2025'!$A15,'SS PCI PivotTable'!$A:$A,0))</f>
        <v>55</v>
      </c>
      <c r="F15" s="9">
        <f>INDEX('SS PCI PivotTable'!$E:$E,MATCH('MTC Regional PCIs 2022-2025'!$A15,'SS PCI PivotTable'!$A:$A,0))</f>
        <v>54</v>
      </c>
      <c r="G15" s="12">
        <f>AVERAGE($C15:$E15)</f>
        <v>57</v>
      </c>
      <c r="H15" s="12">
        <f t="shared" si="1"/>
        <v>55.333333333333336</v>
      </c>
      <c r="I15" s="9" t="str">
        <f t="shared" si="2"/>
        <v>TRUE</v>
      </c>
      <c r="J15" s="12">
        <f t="shared" si="3"/>
        <v>3</v>
      </c>
    </row>
    <row r="16" spans="1:10" x14ac:dyDescent="0.25">
      <c r="A16" t="s">
        <v>85</v>
      </c>
      <c r="B16" t="str">
        <f>INDEX('DevMecca SS PCI Export'!$B:$B,MATCH('MTC Regional PCIs 2022-2025'!$A16,'DevMecca SS PCI Export'!$A:$A,0))</f>
        <v>Santa Clara County</v>
      </c>
      <c r="C16" s="9">
        <f>INDEX('SS PCI PivotTable'!$B:$B,MATCH('MTC Regional PCIs 2022-2025'!$A16,'SS PCI PivotTable'!$A:$A,0))</f>
        <v>69</v>
      </c>
      <c r="D16" s="9">
        <f>INDEX('SS PCI PivotTable'!$C:$C,MATCH('MTC Regional PCIs 2022-2025'!$A16,'SS PCI PivotTable'!$A:$A,0))</f>
        <v>66</v>
      </c>
      <c r="E16" s="9">
        <f>INDEX('SS PCI PivotTable'!$D:$D,MATCH('MTC Regional PCIs 2022-2025'!$A16,'SS PCI PivotTable'!$A:$A,0))</f>
        <v>64</v>
      </c>
      <c r="F16" s="9">
        <f>INDEX('SS PCI PivotTable'!$E:$E,MATCH('MTC Regional PCIs 2022-2025'!$A16,'SS PCI PivotTable'!$A:$A,0))</f>
        <v>63</v>
      </c>
      <c r="G16" s="12">
        <f t="shared" ref="G16:G78" si="4">AVERAGE($C16:$E16)</f>
        <v>66.333333333333329</v>
      </c>
      <c r="H16" s="12">
        <f t="shared" si="1"/>
        <v>64.333333333333329</v>
      </c>
      <c r="I16" s="9" t="str">
        <f t="shared" si="2"/>
        <v>TRUE</v>
      </c>
      <c r="J16" s="12">
        <f t="shared" si="3"/>
        <v>3.3333333333333286</v>
      </c>
    </row>
    <row r="17" spans="1:10" x14ac:dyDescent="0.25">
      <c r="A17" t="s">
        <v>23</v>
      </c>
      <c r="B17" t="str">
        <f>INDEX('DevMecca SS PCI Export'!$B:$B,MATCH('MTC Regional PCIs 2022-2025'!$A17,'DevMecca SS PCI Export'!$A:$A,0))</f>
        <v>Contra Costa County</v>
      </c>
      <c r="C17" s="9">
        <f>INDEX('SS PCI PivotTable'!$B:$B,MATCH('MTC Regional PCIs 2022-2025'!$A17,'SS PCI PivotTable'!$A:$A,0))</f>
        <v>78</v>
      </c>
      <c r="D17" s="9">
        <f>INDEX('SS PCI PivotTable'!$C:$C,MATCH('MTC Regional PCIs 2022-2025'!$A17,'SS PCI PivotTable'!$A:$A,0))</f>
        <v>77</v>
      </c>
      <c r="E17" s="9">
        <f>INDEX('SS PCI PivotTable'!$D:$D,MATCH('MTC Regional PCIs 2022-2025'!$A17,'SS PCI PivotTable'!$A:$A,0))</f>
        <v>73</v>
      </c>
      <c r="F17" s="9">
        <f>INDEX('SS PCI PivotTable'!$E:$E,MATCH('MTC Regional PCIs 2022-2025'!$A17,'SS PCI PivotTable'!$A:$A,0))</f>
        <v>72</v>
      </c>
      <c r="G17" s="12">
        <f t="shared" si="4"/>
        <v>76</v>
      </c>
      <c r="H17" s="12">
        <f t="shared" si="1"/>
        <v>74</v>
      </c>
      <c r="I17" s="9" t="str">
        <f t="shared" si="2"/>
        <v>TRUE</v>
      </c>
      <c r="J17" s="12">
        <f t="shared" si="3"/>
        <v>4</v>
      </c>
    </row>
    <row r="18" spans="1:10" x14ac:dyDescent="0.25">
      <c r="A18" t="s">
        <v>111</v>
      </c>
      <c r="B18" t="str">
        <f>INDEX('DevMecca SS PCI Export'!$B:$B,MATCH('MTC Regional PCIs 2022-2025'!$A18,'DevMecca SS PCI Export'!$A:$A,0))</f>
        <v>Sonoma County</v>
      </c>
      <c r="C18" s="9">
        <f>INDEX('SS PCI PivotTable'!$B:$B,MATCH('MTC Regional PCIs 2022-2025'!$A18,'SS PCI PivotTable'!$A:$A,0))</f>
        <v>60</v>
      </c>
      <c r="D18" s="9">
        <f>INDEX('SS PCI PivotTable'!$C:$C,MATCH('MTC Regional PCIs 2022-2025'!$A18,'SS PCI PivotTable'!$A:$A,0))</f>
        <v>58</v>
      </c>
      <c r="E18" s="9">
        <f>INDEX('SS PCI PivotTable'!$D:$D,MATCH('MTC Regional PCIs 2022-2025'!$A18,'SS PCI PivotTable'!$A:$A,0))</f>
        <v>58</v>
      </c>
      <c r="F18" s="9">
        <f>INDEX('SS PCI PivotTable'!$E:$E,MATCH('MTC Regional PCIs 2022-2025'!$A18,'SS PCI PivotTable'!$A:$A,0))</f>
        <v>57</v>
      </c>
      <c r="G18" s="12">
        <f t="shared" si="4"/>
        <v>58.666666666666664</v>
      </c>
      <c r="H18" s="12">
        <f t="shared" si="1"/>
        <v>57.666666666666664</v>
      </c>
      <c r="I18" s="9" t="str">
        <f t="shared" si="2"/>
        <v>TRUE</v>
      </c>
      <c r="J18" s="12">
        <f t="shared" si="3"/>
        <v>1.6666666666666643</v>
      </c>
    </row>
    <row r="19" spans="1:10" x14ac:dyDescent="0.25">
      <c r="A19" t="s">
        <v>68</v>
      </c>
      <c r="B19" t="str">
        <f>INDEX('DevMecca SS PCI Export'!$B:$B,MATCH('MTC Regional PCIs 2022-2025'!$A19,'DevMecca SS PCI Export'!$A:$A,0))</f>
        <v>San Mateo County</v>
      </c>
      <c r="C19" s="9">
        <f>INDEX('SS PCI PivotTable'!$B:$B,MATCH('MTC Regional PCIs 2022-2025'!$A19,'SS PCI PivotTable'!$A:$A,0))</f>
        <v>76</v>
      </c>
      <c r="D19" s="9">
        <f>INDEX('SS PCI PivotTable'!$C:$C,MATCH('MTC Regional PCIs 2022-2025'!$A19,'SS PCI PivotTable'!$A:$A,0))</f>
        <v>74</v>
      </c>
      <c r="E19" s="9">
        <f>INDEX('SS PCI PivotTable'!$D:$D,MATCH('MTC Regional PCIs 2022-2025'!$A19,'SS PCI PivotTable'!$A:$A,0))</f>
        <v>84</v>
      </c>
      <c r="F19" s="9">
        <f>INDEX('SS PCI PivotTable'!$E:$E,MATCH('MTC Regional PCIs 2022-2025'!$A19,'SS PCI PivotTable'!$A:$A,0))</f>
        <v>83</v>
      </c>
      <c r="G19" s="12">
        <f t="shared" si="4"/>
        <v>78</v>
      </c>
      <c r="H19" s="12">
        <f t="shared" si="1"/>
        <v>80.333333333333329</v>
      </c>
      <c r="I19" s="9" t="str">
        <f t="shared" si="2"/>
        <v>FALSE</v>
      </c>
      <c r="J19" s="12">
        <f t="shared" si="3"/>
        <v>-5</v>
      </c>
    </row>
    <row r="20" spans="1:10" x14ac:dyDescent="0.25">
      <c r="A20" t="s">
        <v>24</v>
      </c>
      <c r="B20" t="str">
        <f>INDEX('DevMecca SS PCI Export'!$B:$B,MATCH('MTC Regional PCIs 2022-2025'!$A20,'DevMecca SS PCI Export'!$A:$A,0))</f>
        <v>Contra Costa County</v>
      </c>
      <c r="C20" s="9">
        <f>INDEX('SS PCI PivotTable'!$B:$B,MATCH('MTC Regional PCIs 2022-2025'!$A20,'SS PCI PivotTable'!$A:$A,0))</f>
        <v>55</v>
      </c>
      <c r="D20" s="9">
        <f>INDEX('SS PCI PivotTable'!$C:$C,MATCH('MTC Regional PCIs 2022-2025'!$A20,'SS PCI PivotTable'!$A:$A,0))</f>
        <v>55</v>
      </c>
      <c r="E20" s="9">
        <f>INDEX('SS PCI PivotTable'!$D:$D,MATCH('MTC Regional PCIs 2022-2025'!$A20,'SS PCI PivotTable'!$A:$A,0))</f>
        <v>56</v>
      </c>
      <c r="F20" s="9">
        <f>INDEX('SS PCI PivotTable'!$E:$E,MATCH('MTC Regional PCIs 2022-2025'!$A20,'SS PCI PivotTable'!$A:$A,0))</f>
        <v>54</v>
      </c>
      <c r="G20" s="12">
        <f t="shared" si="4"/>
        <v>55.333333333333336</v>
      </c>
      <c r="H20" s="12">
        <f t="shared" si="1"/>
        <v>55</v>
      </c>
      <c r="I20" s="9" t="str">
        <f t="shared" si="2"/>
        <v>TRUE</v>
      </c>
      <c r="J20" s="12">
        <f t="shared" si="3"/>
        <v>1.3333333333333357</v>
      </c>
    </row>
    <row r="21" spans="1:10" x14ac:dyDescent="0.25">
      <c r="A21" t="s">
        <v>25</v>
      </c>
      <c r="B21" t="str">
        <f>INDEX('DevMecca SS PCI Export'!$B:$B,MATCH('MTC Regional PCIs 2022-2025'!$A21,'DevMecca SS PCI Export'!$A:$A,0))</f>
        <v>Contra Costa County</v>
      </c>
      <c r="C21" s="9">
        <f>INDEX('SS PCI PivotTable'!$B:$B,MATCH('MTC Regional PCIs 2022-2025'!$A21,'SS PCI PivotTable'!$A:$A,0))</f>
        <v>70</v>
      </c>
      <c r="D21" s="9">
        <f>INDEX('SS PCI PivotTable'!$C:$C,MATCH('MTC Regional PCIs 2022-2025'!$A21,'SS PCI PivotTable'!$A:$A,0))</f>
        <v>73</v>
      </c>
      <c r="E21" s="9">
        <f>INDEX('SS PCI PivotTable'!$D:$D,MATCH('MTC Regional PCIs 2022-2025'!$A21,'SS PCI PivotTable'!$A:$A,0))</f>
        <v>71</v>
      </c>
      <c r="F21" s="9">
        <f>INDEX('SS PCI PivotTable'!$E:$E,MATCH('MTC Regional PCIs 2022-2025'!$A21,'SS PCI PivotTable'!$A:$A,0))</f>
        <v>70</v>
      </c>
      <c r="G21" s="12">
        <f t="shared" si="4"/>
        <v>71.333333333333329</v>
      </c>
      <c r="H21" s="12">
        <f t="shared" si="1"/>
        <v>71.333333333333329</v>
      </c>
      <c r="I21" s="9" t="str">
        <f t="shared" si="2"/>
        <v>TRUE</v>
      </c>
      <c r="J21" s="12">
        <f t="shared" si="3"/>
        <v>1.3333333333333286</v>
      </c>
    </row>
    <row r="22" spans="1:10" x14ac:dyDescent="0.25">
      <c r="A22" t="s">
        <v>43</v>
      </c>
      <c r="B22" t="str">
        <f>INDEX('DevMecca SS PCI Export'!$B:$B,MATCH('MTC Regional PCIs 2022-2025'!$A22,'DevMecca SS PCI Export'!$A:$A,0))</f>
        <v>Marin County</v>
      </c>
      <c r="C22" s="9">
        <f>INDEX('SS PCI PivotTable'!$B:$B,MATCH('MTC Regional PCIs 2022-2025'!$A22,'SS PCI PivotTable'!$A:$A,0))</f>
        <v>66</v>
      </c>
      <c r="D22" s="9">
        <f>INDEX('SS PCI PivotTable'!$C:$C,MATCH('MTC Regional PCIs 2022-2025'!$A22,'SS PCI PivotTable'!$A:$A,0))</f>
        <v>69</v>
      </c>
      <c r="E22" s="9">
        <f>INDEX('SS PCI PivotTable'!$D:$D,MATCH('MTC Regional PCIs 2022-2025'!$A22,'SS PCI PivotTable'!$A:$A,0))</f>
        <v>67</v>
      </c>
      <c r="F22" s="9">
        <f>INDEX('SS PCI PivotTable'!$E:$E,MATCH('MTC Regional PCIs 2022-2025'!$A22,'SS PCI PivotTable'!$A:$A,0))</f>
        <v>66</v>
      </c>
      <c r="G22" s="12">
        <f t="shared" si="4"/>
        <v>67.333333333333329</v>
      </c>
      <c r="H22" s="12">
        <f t="shared" si="1"/>
        <v>67.333333333333329</v>
      </c>
      <c r="I22" s="9" t="str">
        <f t="shared" si="2"/>
        <v>TRUE</v>
      </c>
      <c r="J22" s="12">
        <f t="shared" si="3"/>
        <v>1.3333333333333286</v>
      </c>
    </row>
    <row r="23" spans="1:10" x14ac:dyDescent="0.25">
      <c r="A23" t="s">
        <v>113</v>
      </c>
      <c r="B23" t="str">
        <f>INDEX('DevMecca SS PCI Export'!$B:$B,MATCH('MTC Regional PCIs 2022-2025'!$A23,'DevMecca SS PCI Export'!$A:$A,0))</f>
        <v>Sonoma County</v>
      </c>
      <c r="C23" s="9">
        <f>INDEX('SS PCI PivotTable'!$B:$B,MATCH('MTC Regional PCIs 2022-2025'!$A23,'SS PCI PivotTable'!$A:$A,0))</f>
        <v>66</v>
      </c>
      <c r="D23" s="9">
        <f>INDEX('SS PCI PivotTable'!$C:$C,MATCH('MTC Regional PCIs 2022-2025'!$A23,'SS PCI PivotTable'!$A:$A,0))</f>
        <v>74</v>
      </c>
      <c r="E23" s="9">
        <f>INDEX('SS PCI PivotTable'!$D:$D,MATCH('MTC Regional PCIs 2022-2025'!$A23,'SS PCI PivotTable'!$A:$A,0))</f>
        <v>75</v>
      </c>
      <c r="F23" s="9">
        <f>INDEX('SS PCI PivotTable'!$E:$E,MATCH('MTC Regional PCIs 2022-2025'!$A23,'SS PCI PivotTable'!$A:$A,0))</f>
        <v>74</v>
      </c>
      <c r="G23" s="12">
        <f t="shared" si="4"/>
        <v>71.666666666666671</v>
      </c>
      <c r="H23" s="12">
        <f t="shared" si="1"/>
        <v>74.333333333333329</v>
      </c>
      <c r="I23" s="9" t="str">
        <f t="shared" si="2"/>
        <v>FALSE</v>
      </c>
      <c r="J23" s="12">
        <f t="shared" si="3"/>
        <v>-2.3333333333333286</v>
      </c>
    </row>
    <row r="24" spans="1:10" x14ac:dyDescent="0.25">
      <c r="A24" t="s">
        <v>87</v>
      </c>
      <c r="B24" t="str">
        <f>INDEX('DevMecca SS PCI Export'!$B:$B,MATCH('MTC Regional PCIs 2022-2025'!$A24,'DevMecca SS PCI Export'!$A:$A,0))</f>
        <v>Santa Clara County</v>
      </c>
      <c r="C24" s="9">
        <f>INDEX('SS PCI PivotTable'!$B:$B,MATCH('MTC Regional PCIs 2022-2025'!$A24,'SS PCI PivotTable'!$A:$A,0))</f>
        <v>82</v>
      </c>
      <c r="D24" s="9">
        <f>INDEX('SS PCI PivotTable'!$C:$C,MATCH('MTC Regional PCIs 2022-2025'!$A24,'SS PCI PivotTable'!$A:$A,0))</f>
        <v>81</v>
      </c>
      <c r="E24" s="9">
        <f>INDEX('SS PCI PivotTable'!$D:$D,MATCH('MTC Regional PCIs 2022-2025'!$A24,'SS PCI PivotTable'!$A:$A,0))</f>
        <v>82</v>
      </c>
      <c r="F24" s="9">
        <f>INDEX('SS PCI PivotTable'!$E:$E,MATCH('MTC Regional PCIs 2022-2025'!$A24,'SS PCI PivotTable'!$A:$A,0))</f>
        <v>81</v>
      </c>
      <c r="G24" s="12">
        <f t="shared" si="4"/>
        <v>81.666666666666671</v>
      </c>
      <c r="H24" s="12">
        <f t="shared" si="1"/>
        <v>81.333333333333329</v>
      </c>
      <c r="I24" s="9" t="str">
        <f t="shared" si="2"/>
        <v>TRUE</v>
      </c>
      <c r="J24" s="12">
        <f t="shared" si="3"/>
        <v>0.6666666666666714</v>
      </c>
    </row>
    <row r="25" spans="1:10" x14ac:dyDescent="0.25">
      <c r="A25" t="s">
        <v>69</v>
      </c>
      <c r="B25" t="str">
        <f>INDEX('DevMecca SS PCI Export'!$B:$B,MATCH('MTC Regional PCIs 2022-2025'!$A25,'DevMecca SS PCI Export'!$A:$A,0))</f>
        <v>San Mateo County</v>
      </c>
      <c r="C25" s="9">
        <f>INDEX('SS PCI PivotTable'!$B:$B,MATCH('MTC Regional PCIs 2022-2025'!$A25,'SS PCI PivotTable'!$A:$A,0))</f>
        <v>79</v>
      </c>
      <c r="D25" s="9">
        <f>INDEX('SS PCI PivotTable'!$C:$C,MATCH('MTC Regional PCIs 2022-2025'!$A25,'SS PCI PivotTable'!$A:$A,0))</f>
        <v>79</v>
      </c>
      <c r="E25" s="9">
        <f>INDEX('SS PCI PivotTable'!$D:$D,MATCH('MTC Regional PCIs 2022-2025'!$A25,'SS PCI PivotTable'!$A:$A,0))</f>
        <v>77</v>
      </c>
      <c r="F25" s="9">
        <f>INDEX('SS PCI PivotTable'!$E:$E,MATCH('MTC Regional PCIs 2022-2025'!$A25,'SS PCI PivotTable'!$A:$A,0))</f>
        <v>76</v>
      </c>
      <c r="G25" s="12">
        <f t="shared" si="4"/>
        <v>78.333333333333329</v>
      </c>
      <c r="H25" s="12">
        <f t="shared" si="1"/>
        <v>77.333333333333329</v>
      </c>
      <c r="I25" s="9" t="str">
        <f t="shared" si="2"/>
        <v>TRUE</v>
      </c>
      <c r="J25" s="12">
        <f t="shared" si="3"/>
        <v>2.3333333333333286</v>
      </c>
    </row>
    <row r="26" spans="1:10" x14ac:dyDescent="0.25">
      <c r="A26" t="s">
        <v>26</v>
      </c>
      <c r="B26" t="str">
        <f>INDEX('DevMecca SS PCI Export'!$B:$B,MATCH('MTC Regional PCIs 2022-2025'!$A26,'DevMecca SS PCI Export'!$A:$A,0))</f>
        <v>Contra Costa County</v>
      </c>
      <c r="C26" s="9">
        <f>INDEX('SS PCI PivotTable'!$B:$B,MATCH('MTC Regional PCIs 2022-2025'!$A26,'SS PCI PivotTable'!$A:$A,0))</f>
        <v>77</v>
      </c>
      <c r="D26" s="9">
        <f>INDEX('SS PCI PivotTable'!$C:$C,MATCH('MTC Regional PCIs 2022-2025'!$A26,'SS PCI PivotTable'!$A:$A,0))</f>
        <v>78</v>
      </c>
      <c r="E26" s="9">
        <f>INDEX('SS PCI PivotTable'!$D:$D,MATCH('MTC Regional PCIs 2022-2025'!$A26,'SS PCI PivotTable'!$A:$A,0))</f>
        <v>79</v>
      </c>
      <c r="F26" s="9">
        <f>INDEX('SS PCI PivotTable'!$E:$E,MATCH('MTC Regional PCIs 2022-2025'!$A26,'SS PCI PivotTable'!$A:$A,0))</f>
        <v>78</v>
      </c>
      <c r="G26" s="12">
        <f t="shared" si="4"/>
        <v>78</v>
      </c>
      <c r="H26" s="12">
        <f t="shared" si="1"/>
        <v>78.333333333333329</v>
      </c>
      <c r="I26" s="9" t="str">
        <f t="shared" si="2"/>
        <v>FALSE</v>
      </c>
      <c r="J26" s="12">
        <f t="shared" si="3"/>
        <v>0</v>
      </c>
    </row>
    <row r="27" spans="1:10" x14ac:dyDescent="0.25">
      <c r="A27" t="s">
        <v>104</v>
      </c>
      <c r="B27" t="str">
        <f>INDEX('DevMecca SS PCI Export'!$B:$B,MATCH('MTC Regional PCIs 2022-2025'!$A27,'DevMecca SS PCI Export'!$A:$A,0))</f>
        <v>Solano County</v>
      </c>
      <c r="C27" s="9">
        <f>INDEX('SS PCI PivotTable'!$B:$B,MATCH('MTC Regional PCIs 2022-2025'!$A27,'SS PCI PivotTable'!$A:$A,0))</f>
        <v>63</v>
      </c>
      <c r="D27" s="9">
        <f>INDEX('SS PCI PivotTable'!$C:$C,MATCH('MTC Regional PCIs 2022-2025'!$A27,'SS PCI PivotTable'!$A:$A,0))</f>
        <v>67</v>
      </c>
      <c r="E27" s="9">
        <f>INDEX('SS PCI PivotTable'!$D:$D,MATCH('MTC Regional PCIs 2022-2025'!$A27,'SS PCI PivotTable'!$A:$A,0))</f>
        <v>64</v>
      </c>
      <c r="F27" s="9">
        <f>INDEX('SS PCI PivotTable'!$E:$E,MATCH('MTC Regional PCIs 2022-2025'!$A27,'SS PCI PivotTable'!$A:$A,0))</f>
        <v>63</v>
      </c>
      <c r="G27" s="12">
        <f t="shared" si="4"/>
        <v>64.666666666666671</v>
      </c>
      <c r="H27" s="12">
        <f t="shared" si="1"/>
        <v>64.666666666666671</v>
      </c>
      <c r="I27" s="9" t="str">
        <f t="shared" si="2"/>
        <v>TRUE</v>
      </c>
      <c r="J27" s="12">
        <f t="shared" si="3"/>
        <v>1.6666666666666714</v>
      </c>
    </row>
    <row r="28" spans="1:10" x14ac:dyDescent="0.25">
      <c r="A28" t="s">
        <v>9</v>
      </c>
      <c r="B28" t="str">
        <f>INDEX('DevMecca SS PCI Export'!$B:$B,MATCH('MTC Regional PCIs 2022-2025'!$A28,'DevMecca SS PCI Export'!$A:$A,0))</f>
        <v>Alameda County</v>
      </c>
      <c r="C28" s="9">
        <f>INDEX('SS PCI PivotTable'!$B:$B,MATCH('MTC Regional PCIs 2022-2025'!$A28,'SS PCI PivotTable'!$A:$A,0))</f>
        <v>78</v>
      </c>
      <c r="D28" s="9">
        <f>INDEX('SS PCI PivotTable'!$C:$C,MATCH('MTC Regional PCIs 2022-2025'!$A28,'SS PCI PivotTable'!$A:$A,0))</f>
        <v>78</v>
      </c>
      <c r="E28" s="9">
        <f>INDEX('SS PCI PivotTable'!$D:$D,MATCH('MTC Regional PCIs 2022-2025'!$A28,'SS PCI PivotTable'!$A:$A,0))</f>
        <v>77</v>
      </c>
      <c r="F28" s="9">
        <f>INDEX('SS PCI PivotTable'!$E:$E,MATCH('MTC Regional PCIs 2022-2025'!$A28,'SS PCI PivotTable'!$A:$A,0))</f>
        <v>77</v>
      </c>
      <c r="G28" s="12">
        <f t="shared" si="4"/>
        <v>77.666666666666671</v>
      </c>
      <c r="H28" s="12">
        <f t="shared" si="1"/>
        <v>77.333333333333329</v>
      </c>
      <c r="I28" s="9" t="str">
        <f t="shared" si="2"/>
        <v>TRUE</v>
      </c>
      <c r="J28" s="12">
        <f t="shared" si="3"/>
        <v>0.6666666666666714</v>
      </c>
    </row>
    <row r="29" spans="1:10" x14ac:dyDescent="0.25">
      <c r="A29" t="s">
        <v>27</v>
      </c>
      <c r="B29" t="str">
        <f>INDEX('DevMecca SS PCI Export'!$B:$B,MATCH('MTC Regional PCIs 2022-2025'!$A29,'DevMecca SS PCI Export'!$A:$A,0))</f>
        <v>Contra Costa County</v>
      </c>
      <c r="C29" s="9">
        <f>INDEX('SS PCI PivotTable'!$B:$B,MATCH('MTC Regional PCIs 2022-2025'!$A29,'SS PCI PivotTable'!$A:$A,0))</f>
        <v>69</v>
      </c>
      <c r="D29" s="9">
        <f>INDEX('SS PCI PivotTable'!$C:$C,MATCH('MTC Regional PCIs 2022-2025'!$A29,'SS PCI PivotTable'!$A:$A,0))</f>
        <v>68</v>
      </c>
      <c r="E29" s="9">
        <f>INDEX('SS PCI PivotTable'!$D:$D,MATCH('MTC Regional PCIs 2022-2025'!$A29,'SS PCI PivotTable'!$A:$A,0))</f>
        <v>66</v>
      </c>
      <c r="F29" s="9">
        <f>INDEX('SS PCI PivotTable'!$E:$E,MATCH('MTC Regional PCIs 2022-2025'!$A29,'SS PCI PivotTable'!$A:$A,0))</f>
        <v>65</v>
      </c>
      <c r="G29" s="12">
        <f t="shared" si="4"/>
        <v>67.666666666666671</v>
      </c>
      <c r="H29" s="12">
        <f t="shared" si="1"/>
        <v>66.333333333333329</v>
      </c>
      <c r="I29" s="9" t="str">
        <f t="shared" si="2"/>
        <v>TRUE</v>
      </c>
      <c r="J29" s="12">
        <f t="shared" si="3"/>
        <v>2.6666666666666714</v>
      </c>
    </row>
    <row r="30" spans="1:10" x14ac:dyDescent="0.25">
      <c r="A30" t="s">
        <v>10</v>
      </c>
      <c r="B30" t="str">
        <f>INDEX('DevMecca SS PCI Export'!$B:$B,MATCH('MTC Regional PCIs 2022-2025'!$A30,'DevMecca SS PCI Export'!$A:$A,0))</f>
        <v>Alameda County</v>
      </c>
      <c r="C30" s="9">
        <f>INDEX('SS PCI PivotTable'!$B:$B,MATCH('MTC Regional PCIs 2022-2025'!$A30,'SS PCI PivotTable'!$A:$A,0))</f>
        <v>81</v>
      </c>
      <c r="D30" s="9">
        <f>INDEX('SS PCI PivotTable'!$C:$C,MATCH('MTC Regional PCIs 2022-2025'!$A30,'SS PCI PivotTable'!$A:$A,0))</f>
        <v>79</v>
      </c>
      <c r="E30" s="9">
        <f>INDEX('SS PCI PivotTable'!$D:$D,MATCH('MTC Regional PCIs 2022-2025'!$A30,'SS PCI PivotTable'!$A:$A,0))</f>
        <v>75</v>
      </c>
      <c r="F30" s="9">
        <f>INDEX('SS PCI PivotTable'!$E:$E,MATCH('MTC Regional PCIs 2022-2025'!$A30,'SS PCI PivotTable'!$A:$A,0))</f>
        <v>74</v>
      </c>
      <c r="G30" s="12">
        <f t="shared" si="4"/>
        <v>78.333333333333329</v>
      </c>
      <c r="H30" s="12">
        <f t="shared" si="1"/>
        <v>76</v>
      </c>
      <c r="I30" s="9" t="str">
        <f t="shared" si="2"/>
        <v>TRUE</v>
      </c>
      <c r="J30" s="12">
        <f t="shared" si="3"/>
        <v>4.3333333333333286</v>
      </c>
    </row>
    <row r="31" spans="1:10" x14ac:dyDescent="0.25">
      <c r="A31" t="s">
        <v>70</v>
      </c>
      <c r="B31" t="str">
        <f>INDEX('DevMecca SS PCI Export'!$B:$B,MATCH('MTC Regional PCIs 2022-2025'!$A31,'DevMecca SS PCI Export'!$A:$A,0))</f>
        <v>San Mateo County</v>
      </c>
      <c r="C31" s="9">
        <f>INDEX('SS PCI PivotTable'!$B:$B,MATCH('MTC Regional PCIs 2022-2025'!$A31,'SS PCI PivotTable'!$A:$A,0))</f>
        <v>61</v>
      </c>
      <c r="D31" s="9">
        <f>INDEX('SS PCI PivotTable'!$C:$C,MATCH('MTC Regional PCIs 2022-2025'!$A31,'SS PCI PivotTable'!$A:$A,0))</f>
        <v>60</v>
      </c>
      <c r="E31" s="9">
        <f>INDEX('SS PCI PivotTable'!$D:$D,MATCH('MTC Regional PCIs 2022-2025'!$A31,'SS PCI PivotTable'!$A:$A,0))</f>
        <v>58</v>
      </c>
      <c r="F31" s="9">
        <f>INDEX('SS PCI PivotTable'!$E:$E,MATCH('MTC Regional PCIs 2022-2025'!$A31,'SS PCI PivotTable'!$A:$A,0))</f>
        <v>57</v>
      </c>
      <c r="G31" s="12">
        <f t="shared" si="4"/>
        <v>59.666666666666664</v>
      </c>
      <c r="H31" s="12">
        <f t="shared" si="1"/>
        <v>58.333333333333336</v>
      </c>
      <c r="I31" s="9" t="str">
        <f t="shared" si="2"/>
        <v>TRUE</v>
      </c>
      <c r="J31" s="12">
        <f t="shared" si="3"/>
        <v>2.6666666666666643</v>
      </c>
    </row>
    <row r="32" spans="1:10" x14ac:dyDescent="0.25">
      <c r="A32" t="s">
        <v>44</v>
      </c>
      <c r="B32" t="str">
        <f>INDEX('DevMecca SS PCI Export'!$B:$B,MATCH('MTC Regional PCIs 2022-2025'!$A32,'DevMecca SS PCI Export'!$A:$A,0))</f>
        <v>Marin County</v>
      </c>
      <c r="C32" s="9">
        <f>INDEX('SS PCI PivotTable'!$B:$B,MATCH('MTC Regional PCIs 2022-2025'!$A32,'SS PCI PivotTable'!$A:$A,0))</f>
        <v>55</v>
      </c>
      <c r="D32" s="9">
        <f>INDEX('SS PCI PivotTable'!$C:$C,MATCH('MTC Regional PCIs 2022-2025'!$A32,'SS PCI PivotTable'!$A:$A,0))</f>
        <v>53</v>
      </c>
      <c r="E32" s="9">
        <f>INDEX('SS PCI PivotTable'!$D:$D,MATCH('MTC Regional PCIs 2022-2025'!$A32,'SS PCI PivotTable'!$A:$A,0))</f>
        <v>52</v>
      </c>
      <c r="F32" s="9">
        <f>INDEX('SS PCI PivotTable'!$E:$E,MATCH('MTC Regional PCIs 2022-2025'!$A32,'SS PCI PivotTable'!$A:$A,0))</f>
        <v>51</v>
      </c>
      <c r="G32" s="12">
        <f t="shared" si="4"/>
        <v>53.333333333333336</v>
      </c>
      <c r="H32" s="12">
        <f t="shared" si="1"/>
        <v>52</v>
      </c>
      <c r="I32" s="9" t="str">
        <f t="shared" si="2"/>
        <v>TRUE</v>
      </c>
      <c r="J32" s="12">
        <f t="shared" si="3"/>
        <v>2.3333333333333357</v>
      </c>
    </row>
    <row r="33" spans="1:10" x14ac:dyDescent="0.25">
      <c r="A33" t="s">
        <v>105</v>
      </c>
      <c r="B33" t="str">
        <f>INDEX('DevMecca SS PCI Export'!$B:$B,MATCH('MTC Regional PCIs 2022-2025'!$A33,'DevMecca SS PCI Export'!$A:$A,0))</f>
        <v>Solano County</v>
      </c>
      <c r="C33" s="9">
        <f>INDEX('SS PCI PivotTable'!$B:$B,MATCH('MTC Regional PCIs 2022-2025'!$A33,'SS PCI PivotTable'!$A:$A,0))</f>
        <v>64</v>
      </c>
      <c r="D33" s="9">
        <f>INDEX('SS PCI PivotTable'!$C:$C,MATCH('MTC Regional PCIs 2022-2025'!$A33,'SS PCI PivotTable'!$A:$A,0))</f>
        <v>65</v>
      </c>
      <c r="E33" s="9">
        <f>INDEX('SS PCI PivotTable'!$D:$D,MATCH('MTC Regional PCIs 2022-2025'!$A33,'SS PCI PivotTable'!$A:$A,0))</f>
        <v>63</v>
      </c>
      <c r="F33" s="9">
        <f>INDEX('SS PCI PivotTable'!$E:$E,MATCH('MTC Regional PCIs 2022-2025'!$A33,'SS PCI PivotTable'!$A:$A,0))</f>
        <v>61</v>
      </c>
      <c r="G33" s="12">
        <f t="shared" si="4"/>
        <v>64</v>
      </c>
      <c r="H33" s="12">
        <f t="shared" si="1"/>
        <v>63</v>
      </c>
      <c r="I33" s="9" t="str">
        <f t="shared" si="2"/>
        <v>TRUE</v>
      </c>
      <c r="J33" s="12">
        <f t="shared" si="3"/>
        <v>3</v>
      </c>
    </row>
    <row r="34" spans="1:10" x14ac:dyDescent="0.25">
      <c r="A34" t="s">
        <v>71</v>
      </c>
      <c r="B34" t="str">
        <f>INDEX('DevMecca SS PCI Export'!$B:$B,MATCH('MTC Regional PCIs 2022-2025'!$A34,'DevMecca SS PCI Export'!$A:$A,0))</f>
        <v>San Mateo County</v>
      </c>
      <c r="C34" s="9">
        <f>INDEX('SS PCI PivotTable'!$B:$B,MATCH('MTC Regional PCIs 2022-2025'!$A34,'SS PCI PivotTable'!$A:$A,0))</f>
        <v>77</v>
      </c>
      <c r="D34" s="9">
        <f>INDEX('SS PCI PivotTable'!$C:$C,MATCH('MTC Regional PCIs 2022-2025'!$A34,'SS PCI PivotTable'!$A:$A,0))</f>
        <v>78</v>
      </c>
      <c r="E34" s="9">
        <f>INDEX('SS PCI PivotTable'!$D:$D,MATCH('MTC Regional PCIs 2022-2025'!$A34,'SS PCI PivotTable'!$A:$A,0))</f>
        <v>77</v>
      </c>
      <c r="F34" s="9">
        <f>INDEX('SS PCI PivotTable'!$E:$E,MATCH('MTC Regional PCIs 2022-2025'!$A34,'SS PCI PivotTable'!$A:$A,0))</f>
        <v>76</v>
      </c>
      <c r="G34" s="12">
        <f t="shared" si="4"/>
        <v>77.333333333333329</v>
      </c>
      <c r="H34" s="12">
        <f t="shared" si="1"/>
        <v>77</v>
      </c>
      <c r="I34" s="9" t="str">
        <f t="shared" si="2"/>
        <v>TRUE</v>
      </c>
      <c r="J34" s="12">
        <f t="shared" si="3"/>
        <v>1.3333333333333286</v>
      </c>
    </row>
    <row r="35" spans="1:10" x14ac:dyDescent="0.25">
      <c r="A35" t="s">
        <v>11</v>
      </c>
      <c r="B35" t="str">
        <f>INDEX('DevMecca SS PCI Export'!$B:$B,MATCH('MTC Regional PCIs 2022-2025'!$A35,'DevMecca SS PCI Export'!$A:$A,0))</f>
        <v>Alameda County</v>
      </c>
      <c r="C35" s="9">
        <f>INDEX('SS PCI PivotTable'!$B:$B,MATCH('MTC Regional PCIs 2022-2025'!$A35,'SS PCI PivotTable'!$A:$A,0))</f>
        <v>71</v>
      </c>
      <c r="D35" s="9">
        <f>INDEX('SS PCI PivotTable'!$C:$C,MATCH('MTC Regional PCIs 2022-2025'!$A35,'SS PCI PivotTable'!$A:$A,0))</f>
        <v>70</v>
      </c>
      <c r="E35" s="9">
        <f>INDEX('SS PCI PivotTable'!$D:$D,MATCH('MTC Regional PCIs 2022-2025'!$A35,'SS PCI PivotTable'!$A:$A,0))</f>
        <v>71</v>
      </c>
      <c r="F35" s="9">
        <f>INDEX('SS PCI PivotTable'!$E:$E,MATCH('MTC Regional PCIs 2022-2025'!$A35,'SS PCI PivotTable'!$A:$A,0))</f>
        <v>69</v>
      </c>
      <c r="G35" s="12">
        <f t="shared" si="4"/>
        <v>70.666666666666671</v>
      </c>
      <c r="H35" s="12">
        <f t="shared" si="1"/>
        <v>70</v>
      </c>
      <c r="I35" s="9" t="str">
        <f t="shared" si="2"/>
        <v>TRUE</v>
      </c>
      <c r="J35" s="12">
        <f t="shared" si="3"/>
        <v>1.6666666666666714</v>
      </c>
    </row>
    <row r="36" spans="1:10" x14ac:dyDescent="0.25">
      <c r="A36" t="s">
        <v>88</v>
      </c>
      <c r="B36" t="str">
        <f>INDEX('DevMecca SS PCI Export'!$B:$B,MATCH('MTC Regional PCIs 2022-2025'!$A36,'DevMecca SS PCI Export'!$A:$A,0))</f>
        <v>Santa Clara County</v>
      </c>
      <c r="C36" s="9">
        <f>INDEX('SS PCI PivotTable'!$B:$B,MATCH('MTC Regional PCIs 2022-2025'!$A36,'SS PCI PivotTable'!$A:$A,0))</f>
        <v>61</v>
      </c>
      <c r="D36" s="9">
        <f>INDEX('SS PCI PivotTable'!$C:$C,MATCH('MTC Regional PCIs 2022-2025'!$A36,'SS PCI PivotTable'!$A:$A,0))</f>
        <v>64</v>
      </c>
      <c r="E36" s="9">
        <f>INDEX('SS PCI PivotTable'!$D:$D,MATCH('MTC Regional PCIs 2022-2025'!$A36,'SS PCI PivotTable'!$A:$A,0))</f>
        <v>64</v>
      </c>
      <c r="F36" s="9">
        <f>INDEX('SS PCI PivotTable'!$E:$E,MATCH('MTC Regional PCIs 2022-2025'!$A36,'SS PCI PivotTable'!$A:$A,0))</f>
        <v>62</v>
      </c>
      <c r="G36" s="12">
        <f t="shared" si="4"/>
        <v>63</v>
      </c>
      <c r="H36" s="12">
        <f t="shared" si="1"/>
        <v>63.333333333333336</v>
      </c>
      <c r="I36" s="9" t="str">
        <f t="shared" si="2"/>
        <v>TRUE</v>
      </c>
      <c r="J36" s="12">
        <f t="shared" si="3"/>
        <v>1</v>
      </c>
    </row>
    <row r="37" spans="1:10" x14ac:dyDescent="0.25">
      <c r="A37" t="s">
        <v>72</v>
      </c>
      <c r="B37" t="str">
        <f>INDEX('DevMecca SS PCI Export'!$B:$B,MATCH('MTC Regional PCIs 2022-2025'!$A37,'DevMecca SS PCI Export'!$A:$A,0))</f>
        <v>San Mateo County</v>
      </c>
      <c r="C37" s="9">
        <f>INDEX('SS PCI PivotTable'!$B:$B,MATCH('MTC Regional PCIs 2022-2025'!$A37,'SS PCI PivotTable'!$A:$A,0))</f>
        <v>66</v>
      </c>
      <c r="D37" s="9">
        <f>INDEX('SS PCI PivotTable'!$C:$C,MATCH('MTC Regional PCIs 2022-2025'!$A37,'SS PCI PivotTable'!$A:$A,0))</f>
        <v>64</v>
      </c>
      <c r="E37" s="9">
        <f>INDEX('SS PCI PivotTable'!$D:$D,MATCH('MTC Regional PCIs 2022-2025'!$A37,'SS PCI PivotTable'!$A:$A,0))</f>
        <v>63</v>
      </c>
      <c r="F37" s="9">
        <f>INDEX('SS PCI PivotTable'!$E:$E,MATCH('MTC Regional PCIs 2022-2025'!$A37,'SS PCI PivotTable'!$A:$A,0))</f>
        <v>62</v>
      </c>
      <c r="G37" s="12">
        <f t="shared" si="4"/>
        <v>64.333333333333329</v>
      </c>
      <c r="H37" s="12">
        <f t="shared" si="1"/>
        <v>63</v>
      </c>
      <c r="I37" s="9" t="str">
        <f t="shared" si="2"/>
        <v>TRUE</v>
      </c>
      <c r="J37" s="12">
        <f t="shared" si="3"/>
        <v>2.3333333333333286</v>
      </c>
    </row>
    <row r="38" spans="1:10" x14ac:dyDescent="0.25">
      <c r="A38" t="s">
        <v>12</v>
      </c>
      <c r="B38" t="str">
        <f>INDEX('DevMecca SS PCI Export'!$B:$B,MATCH('MTC Regional PCIs 2022-2025'!$A38,'DevMecca SS PCI Export'!$A:$A,0))</f>
        <v>Alameda County</v>
      </c>
      <c r="C38" s="9">
        <f>INDEX('SS PCI PivotTable'!$B:$B,MATCH('MTC Regional PCIs 2022-2025'!$A38,'SS PCI PivotTable'!$A:$A,0))</f>
        <v>70</v>
      </c>
      <c r="D38" s="9">
        <f>INDEX('SS PCI PivotTable'!$C:$C,MATCH('MTC Regional PCIs 2022-2025'!$A38,'SS PCI PivotTable'!$A:$A,0))</f>
        <v>73</v>
      </c>
      <c r="E38" s="9">
        <f>INDEX('SS PCI PivotTable'!$D:$D,MATCH('MTC Regional PCIs 2022-2025'!$A38,'SS PCI PivotTable'!$A:$A,0))</f>
        <v>76</v>
      </c>
      <c r="F38" s="9">
        <f>INDEX('SS PCI PivotTable'!$E:$E,MATCH('MTC Regional PCIs 2022-2025'!$A38,'SS PCI PivotTable'!$A:$A,0))</f>
        <v>74</v>
      </c>
      <c r="G38" s="12">
        <f t="shared" si="4"/>
        <v>73</v>
      </c>
      <c r="H38" s="12">
        <f t="shared" si="1"/>
        <v>74.333333333333329</v>
      </c>
      <c r="I38" s="9" t="str">
        <f t="shared" si="2"/>
        <v>FALSE</v>
      </c>
      <c r="J38" s="12">
        <f t="shared" si="3"/>
        <v>-1</v>
      </c>
    </row>
    <row r="39" spans="1:10" x14ac:dyDescent="0.25">
      <c r="A39" t="s">
        <v>114</v>
      </c>
      <c r="B39" t="str">
        <f>INDEX('DevMecca SS PCI Export'!$B:$B,MATCH('MTC Regional PCIs 2022-2025'!$A39,'DevMecca SS PCI Export'!$A:$A,0))</f>
        <v>Sonoma County</v>
      </c>
      <c r="C39" s="9">
        <f>INDEX('SS PCI PivotTable'!$B:$B,MATCH('MTC Regional PCIs 2022-2025'!$A39,'SS PCI PivotTable'!$A:$A,0))</f>
        <v>72</v>
      </c>
      <c r="D39" s="9">
        <f>INDEX('SS PCI PivotTable'!$C:$C,MATCH('MTC Regional PCIs 2022-2025'!$A39,'SS PCI PivotTable'!$A:$A,0))</f>
        <v>70</v>
      </c>
      <c r="E39" s="9">
        <f>INDEX('SS PCI PivotTable'!$D:$D,MATCH('MTC Regional PCIs 2022-2025'!$A39,'SS PCI PivotTable'!$A:$A,0))</f>
        <v>68</v>
      </c>
      <c r="F39" s="9">
        <f>INDEX('SS PCI PivotTable'!$E:$E,MATCH('MTC Regional PCIs 2022-2025'!$A39,'SS PCI PivotTable'!$A:$A,0))</f>
        <v>67</v>
      </c>
      <c r="G39" s="12">
        <f t="shared" si="4"/>
        <v>70</v>
      </c>
      <c r="H39" s="12">
        <f t="shared" si="1"/>
        <v>68.333333333333329</v>
      </c>
      <c r="I39" s="9" t="str">
        <f t="shared" si="2"/>
        <v>TRUE</v>
      </c>
      <c r="J39" s="12">
        <f t="shared" si="3"/>
        <v>3</v>
      </c>
    </row>
    <row r="40" spans="1:10" x14ac:dyDescent="0.25">
      <c r="A40" t="s">
        <v>57</v>
      </c>
      <c r="B40" t="str">
        <f>INDEX('DevMecca SS PCI Export'!$B:$B,MATCH('MTC Regional PCIs 2022-2025'!$A40,'DevMecca SS PCI Export'!$A:$A,0))</f>
        <v>Napa County</v>
      </c>
      <c r="C40" s="9">
        <f>INDEX('SS PCI PivotTable'!$B:$B,MATCH('MTC Regional PCIs 2022-2025'!$A40,'SS PCI PivotTable'!$A:$A,0))</f>
        <v>48</v>
      </c>
      <c r="D40" s="9">
        <f>INDEX('SS PCI PivotTable'!$C:$C,MATCH('MTC Regional PCIs 2022-2025'!$A40,'SS PCI PivotTable'!$A:$A,0))</f>
        <v>52</v>
      </c>
      <c r="E40" s="9">
        <f>INDEX('SS PCI PivotTable'!$D:$D,MATCH('MTC Regional PCIs 2022-2025'!$A40,'SS PCI PivotTable'!$A:$A,0))</f>
        <v>63</v>
      </c>
      <c r="F40" s="9">
        <f>INDEX('SS PCI PivotTable'!$E:$E,MATCH('MTC Regional PCIs 2022-2025'!$A40,'SS PCI PivotTable'!$A:$A,0))</f>
        <v>61</v>
      </c>
      <c r="G40" s="12">
        <f t="shared" si="4"/>
        <v>54.333333333333336</v>
      </c>
      <c r="H40" s="12">
        <f t="shared" si="1"/>
        <v>58.666666666666664</v>
      </c>
      <c r="I40" s="9" t="str">
        <f t="shared" si="2"/>
        <v>FALSE</v>
      </c>
      <c r="J40" s="12">
        <f t="shared" si="3"/>
        <v>-6.6666666666666643</v>
      </c>
    </row>
    <row r="41" spans="1:10" x14ac:dyDescent="0.25">
      <c r="A41" t="s">
        <v>28</v>
      </c>
      <c r="B41" t="str">
        <f>INDEX('DevMecca SS PCI Export'!$B:$B,MATCH('MTC Regional PCIs 2022-2025'!$A41,'DevMecca SS PCI Export'!$A:$A,0))</f>
        <v>Contra Costa County</v>
      </c>
      <c r="C41" s="9">
        <f>INDEX('SS PCI PivotTable'!$B:$B,MATCH('MTC Regional PCIs 2022-2025'!$A41,'SS PCI PivotTable'!$A:$A,0))</f>
        <v>64</v>
      </c>
      <c r="D41" s="9">
        <f>INDEX('SS PCI PivotTable'!$C:$C,MATCH('MTC Regional PCIs 2022-2025'!$A41,'SS PCI PivotTable'!$A:$A,0))</f>
        <v>62</v>
      </c>
      <c r="E41" s="9">
        <f>INDEX('SS PCI PivotTable'!$D:$D,MATCH('MTC Regional PCIs 2022-2025'!$A41,'SS PCI PivotTable'!$A:$A,0))</f>
        <v>60</v>
      </c>
      <c r="F41" s="9">
        <f>INDEX('SS PCI PivotTable'!$E:$E,MATCH('MTC Regional PCIs 2022-2025'!$A41,'SS PCI PivotTable'!$A:$A,0))</f>
        <v>59</v>
      </c>
      <c r="G41" s="12">
        <f t="shared" si="4"/>
        <v>62</v>
      </c>
      <c r="H41" s="12">
        <f t="shared" si="1"/>
        <v>60.333333333333336</v>
      </c>
      <c r="I41" s="9" t="str">
        <f t="shared" si="2"/>
        <v>TRUE</v>
      </c>
      <c r="J41" s="12">
        <f t="shared" si="3"/>
        <v>3</v>
      </c>
    </row>
    <row r="42" spans="1:10" x14ac:dyDescent="0.25">
      <c r="A42" t="s">
        <v>73</v>
      </c>
      <c r="B42" t="str">
        <f>INDEX('DevMecca SS PCI Export'!$B:$B,MATCH('MTC Regional PCIs 2022-2025'!$A42,'DevMecca SS PCI Export'!$A:$A,0))</f>
        <v>San Mateo County</v>
      </c>
      <c r="C42" s="9">
        <f>INDEX('SS PCI PivotTable'!$B:$B,MATCH('MTC Regional PCIs 2022-2025'!$A42,'SS PCI PivotTable'!$A:$A,0))</f>
        <v>80</v>
      </c>
      <c r="D42" s="9">
        <f>INDEX('SS PCI PivotTable'!$C:$C,MATCH('MTC Regional PCIs 2022-2025'!$A42,'SS PCI PivotTable'!$A:$A,0))</f>
        <v>83</v>
      </c>
      <c r="E42" s="9">
        <f>INDEX('SS PCI PivotTable'!$D:$D,MATCH('MTC Regional PCIs 2022-2025'!$A42,'SS PCI PivotTable'!$A:$A,0))</f>
        <v>81</v>
      </c>
      <c r="F42" s="9">
        <f>INDEX('SS PCI PivotTable'!$E:$E,MATCH('MTC Regional PCIs 2022-2025'!$A42,'SS PCI PivotTable'!$A:$A,0))</f>
        <v>79</v>
      </c>
      <c r="G42" s="12">
        <f t="shared" si="4"/>
        <v>81.333333333333329</v>
      </c>
      <c r="H42" s="12">
        <f t="shared" si="1"/>
        <v>81</v>
      </c>
      <c r="I42" s="9" t="str">
        <f t="shared" si="2"/>
        <v>TRUE</v>
      </c>
      <c r="J42" s="12">
        <f t="shared" si="3"/>
        <v>2.3333333333333286</v>
      </c>
    </row>
    <row r="43" spans="1:10" x14ac:dyDescent="0.25">
      <c r="A43" t="s">
        <v>29</v>
      </c>
      <c r="B43" t="str">
        <f>INDEX('DevMecca SS PCI Export'!$B:$B,MATCH('MTC Regional PCIs 2022-2025'!$A43,'DevMecca SS PCI Export'!$A:$A,0))</f>
        <v>Contra Costa County</v>
      </c>
      <c r="C43" s="9">
        <f>INDEX('SS PCI PivotTable'!$B:$B,MATCH('MTC Regional PCIs 2022-2025'!$A43,'SS PCI PivotTable'!$A:$A,0))</f>
        <v>75</v>
      </c>
      <c r="D43" s="9">
        <f>INDEX('SS PCI PivotTable'!$C:$C,MATCH('MTC Regional PCIs 2022-2025'!$A43,'SS PCI PivotTable'!$A:$A,0))</f>
        <v>73</v>
      </c>
      <c r="E43" s="9">
        <f>INDEX('SS PCI PivotTable'!$D:$D,MATCH('MTC Regional PCIs 2022-2025'!$A43,'SS PCI PivotTable'!$A:$A,0))</f>
        <v>77</v>
      </c>
      <c r="F43" s="9">
        <f>INDEX('SS PCI PivotTable'!$E:$E,MATCH('MTC Regional PCIs 2022-2025'!$A43,'SS PCI PivotTable'!$A:$A,0))</f>
        <v>76</v>
      </c>
      <c r="G43" s="12">
        <f t="shared" si="4"/>
        <v>75</v>
      </c>
      <c r="H43" s="12">
        <f t="shared" si="1"/>
        <v>75.333333333333329</v>
      </c>
      <c r="I43" s="9" t="str">
        <f t="shared" si="2"/>
        <v>FALSE</v>
      </c>
      <c r="J43" s="12">
        <f t="shared" si="3"/>
        <v>-1</v>
      </c>
    </row>
    <row r="44" spans="1:10" x14ac:dyDescent="0.25">
      <c r="A44" t="s">
        <v>45</v>
      </c>
      <c r="B44" t="str">
        <f>INDEX('DevMecca SS PCI Export'!$B:$B,MATCH('MTC Regional PCIs 2022-2025'!$A44,'DevMecca SS PCI Export'!$A:$A,0))</f>
        <v>Marin County</v>
      </c>
      <c r="C44" s="9">
        <f>INDEX('SS PCI PivotTable'!$B:$B,MATCH('MTC Regional PCIs 2022-2025'!$A44,'SS PCI PivotTable'!$A:$A,0))</f>
        <v>85</v>
      </c>
      <c r="D44" s="9">
        <f>INDEX('SS PCI PivotTable'!$C:$C,MATCH('MTC Regional PCIs 2022-2025'!$A44,'SS PCI PivotTable'!$A:$A,0))</f>
        <v>89</v>
      </c>
      <c r="E44" s="9">
        <f>INDEX('SS PCI PivotTable'!$D:$D,MATCH('MTC Regional PCIs 2022-2025'!$A44,'SS PCI PivotTable'!$A:$A,0))</f>
        <v>87</v>
      </c>
      <c r="F44" s="9">
        <f>INDEX('SS PCI PivotTable'!$E:$E,MATCH('MTC Regional PCIs 2022-2025'!$A44,'SS PCI PivotTable'!$A:$A,0))</f>
        <v>86</v>
      </c>
      <c r="G44" s="12">
        <f t="shared" si="4"/>
        <v>87</v>
      </c>
      <c r="H44" s="12">
        <f t="shared" si="1"/>
        <v>87.333333333333329</v>
      </c>
      <c r="I44" s="9" t="str">
        <f t="shared" si="2"/>
        <v>TRUE</v>
      </c>
      <c r="J44" s="12">
        <f t="shared" si="3"/>
        <v>1</v>
      </c>
    </row>
    <row r="45" spans="1:10" x14ac:dyDescent="0.25">
      <c r="A45" t="s">
        <v>13</v>
      </c>
      <c r="B45" t="str">
        <f>INDEX('DevMecca SS PCI Export'!$B:$B,MATCH('MTC Regional PCIs 2022-2025'!$A45,'DevMecca SS PCI Export'!$A:$A,0))</f>
        <v>Alameda County</v>
      </c>
      <c r="C45" s="9">
        <f>INDEX('SS PCI PivotTable'!$B:$B,MATCH('MTC Regional PCIs 2022-2025'!$A45,'SS PCI PivotTable'!$A:$A,0))</f>
        <v>76</v>
      </c>
      <c r="D45" s="9">
        <f>INDEX('SS PCI PivotTable'!$C:$C,MATCH('MTC Regional PCIs 2022-2025'!$A45,'SS PCI PivotTable'!$A:$A,0))</f>
        <v>76</v>
      </c>
      <c r="E45" s="9">
        <f>INDEX('SS PCI PivotTable'!$D:$D,MATCH('MTC Regional PCIs 2022-2025'!$A45,'SS PCI PivotTable'!$A:$A,0))</f>
        <v>74</v>
      </c>
      <c r="F45" s="9">
        <f>INDEX('SS PCI PivotTable'!$E:$E,MATCH('MTC Regional PCIs 2022-2025'!$A45,'SS PCI PivotTable'!$A:$A,0))</f>
        <v>73</v>
      </c>
      <c r="G45" s="12">
        <f>AVERAGE($C45:$E45)</f>
        <v>75.333333333333329</v>
      </c>
      <c r="H45" s="12">
        <f t="shared" si="1"/>
        <v>74.333333333333329</v>
      </c>
      <c r="I45" s="9" t="str">
        <f t="shared" si="2"/>
        <v>TRUE</v>
      </c>
      <c r="J45" s="12">
        <f t="shared" si="3"/>
        <v>2.3333333333333286</v>
      </c>
    </row>
    <row r="46" spans="1:10" x14ac:dyDescent="0.25">
      <c r="A46" t="s">
        <v>89</v>
      </c>
      <c r="B46" t="str">
        <f>INDEX('DevMecca SS PCI Export'!$B:$B,MATCH('MTC Regional PCIs 2022-2025'!$A46,'DevMecca SS PCI Export'!$A:$A,0))</f>
        <v>Santa Clara County</v>
      </c>
      <c r="C46" s="9">
        <f>INDEX('SS PCI PivotTable'!$B:$B,MATCH('MTC Regional PCIs 2022-2025'!$A46,'SS PCI PivotTable'!$A:$A,0))</f>
        <v>75</v>
      </c>
      <c r="D46" s="9">
        <f>INDEX('SS PCI PivotTable'!$C:$C,MATCH('MTC Regional PCIs 2022-2025'!$A46,'SS PCI PivotTable'!$A:$A,0))</f>
        <v>73</v>
      </c>
      <c r="E46" s="9">
        <f>INDEX('SS PCI PivotTable'!$D:$D,MATCH('MTC Regional PCIs 2022-2025'!$A46,'SS PCI PivotTable'!$A:$A,0))</f>
        <v>71</v>
      </c>
      <c r="F46" s="9">
        <f>INDEX('SS PCI PivotTable'!$E:$E,MATCH('MTC Regional PCIs 2022-2025'!$A46,'SS PCI PivotTable'!$A:$A,0))</f>
        <v>70</v>
      </c>
      <c r="G46" s="12">
        <f t="shared" si="4"/>
        <v>73</v>
      </c>
      <c r="H46" s="12">
        <f t="shared" si="1"/>
        <v>71.333333333333329</v>
      </c>
      <c r="I46" s="9" t="str">
        <f t="shared" si="2"/>
        <v>TRUE</v>
      </c>
      <c r="J46" s="12">
        <f t="shared" si="3"/>
        <v>3</v>
      </c>
    </row>
    <row r="47" spans="1:10" x14ac:dyDescent="0.25">
      <c r="A47" t="s">
        <v>90</v>
      </c>
      <c r="B47" t="str">
        <f>INDEX('DevMecca SS PCI Export'!$B:$B,MATCH('MTC Regional PCIs 2022-2025'!$A47,'DevMecca SS PCI Export'!$A:$A,0))</f>
        <v>Santa Clara County</v>
      </c>
      <c r="C47" s="9">
        <f>INDEX('SS PCI PivotTable'!$B:$B,MATCH('MTC Regional PCIs 2022-2025'!$A47,'SS PCI PivotTable'!$A:$A,0))</f>
        <v>79</v>
      </c>
      <c r="D47" s="9">
        <f>INDEX('SS PCI PivotTable'!$C:$C,MATCH('MTC Regional PCIs 2022-2025'!$A47,'SS PCI PivotTable'!$A:$A,0))</f>
        <v>79</v>
      </c>
      <c r="E47" s="9">
        <f>INDEX('SS PCI PivotTable'!$D:$D,MATCH('MTC Regional PCIs 2022-2025'!$A47,'SS PCI PivotTable'!$A:$A,0))</f>
        <v>81</v>
      </c>
      <c r="F47" s="9">
        <f>INDEX('SS PCI PivotTable'!$E:$E,MATCH('MTC Regional PCIs 2022-2025'!$A47,'SS PCI PivotTable'!$A:$A,0))</f>
        <v>80</v>
      </c>
      <c r="G47" s="12">
        <f t="shared" si="4"/>
        <v>79.666666666666671</v>
      </c>
      <c r="H47" s="12">
        <f t="shared" si="1"/>
        <v>80</v>
      </c>
      <c r="I47" s="9" t="str">
        <f t="shared" si="2"/>
        <v>FALSE</v>
      </c>
      <c r="J47" s="12">
        <f t="shared" si="3"/>
        <v>-0.3333333333333286</v>
      </c>
    </row>
    <row r="48" spans="1:10" x14ac:dyDescent="0.25">
      <c r="A48" t="s">
        <v>91</v>
      </c>
      <c r="B48" t="str">
        <f>INDEX('DevMecca SS PCI Export'!$B:$B,MATCH('MTC Regional PCIs 2022-2025'!$A48,'DevMecca SS PCI Export'!$A:$A,0))</f>
        <v>Santa Clara County</v>
      </c>
      <c r="C48" s="9">
        <f>INDEX('SS PCI PivotTable'!$B:$B,MATCH('MTC Regional PCIs 2022-2025'!$A48,'SS PCI PivotTable'!$A:$A,0))</f>
        <v>73</v>
      </c>
      <c r="D48" s="9">
        <f>INDEX('SS PCI PivotTable'!$C:$C,MATCH('MTC Regional PCIs 2022-2025'!$A48,'SS PCI PivotTable'!$A:$A,0))</f>
        <v>75</v>
      </c>
      <c r="E48" s="9">
        <f>INDEX('SS PCI PivotTable'!$D:$D,MATCH('MTC Regional PCIs 2022-2025'!$A48,'SS PCI PivotTable'!$A:$A,0))</f>
        <v>82</v>
      </c>
      <c r="F48" s="9">
        <f>INDEX('SS PCI PivotTable'!$E:$E,MATCH('MTC Regional PCIs 2022-2025'!$A48,'SS PCI PivotTable'!$A:$A,0))</f>
        <v>81</v>
      </c>
      <c r="G48" s="12">
        <f t="shared" si="4"/>
        <v>76.666666666666671</v>
      </c>
      <c r="H48" s="12">
        <f t="shared" si="1"/>
        <v>79.333333333333329</v>
      </c>
      <c r="I48" s="9" t="str">
        <f t="shared" si="2"/>
        <v>FALSE</v>
      </c>
      <c r="J48" s="12">
        <f t="shared" si="3"/>
        <v>-4.3333333333333286</v>
      </c>
    </row>
    <row r="49" spans="1:10" x14ac:dyDescent="0.25">
      <c r="A49" t="s">
        <v>46</v>
      </c>
      <c r="B49" t="str">
        <f>INDEX('DevMecca SS PCI Export'!$B:$B,MATCH('MTC Regional PCIs 2022-2025'!$A49,'DevMecca SS PCI Export'!$A:$A,0))</f>
        <v>Marin County</v>
      </c>
      <c r="C49" s="9">
        <f>INDEX('SS PCI PivotTable'!$B:$B,MATCH('MTC Regional PCIs 2022-2025'!$A49,'SS PCI PivotTable'!$A:$A,0))</f>
        <v>66</v>
      </c>
      <c r="D49" s="9">
        <f>INDEX('SS PCI PivotTable'!$C:$C,MATCH('MTC Regional PCIs 2022-2025'!$A49,'SS PCI PivotTable'!$A:$A,0))</f>
        <v>67</v>
      </c>
      <c r="E49" s="9">
        <f>INDEX('SS PCI PivotTable'!$D:$D,MATCH('MTC Regional PCIs 2022-2025'!$A49,'SS PCI PivotTable'!$A:$A,0))</f>
        <v>68</v>
      </c>
      <c r="F49" s="9">
        <f>INDEX('SS PCI PivotTable'!$E:$E,MATCH('MTC Regional PCIs 2022-2025'!$A49,'SS PCI PivotTable'!$A:$A,0))</f>
        <v>67</v>
      </c>
      <c r="G49" s="12">
        <f t="shared" si="4"/>
        <v>67</v>
      </c>
      <c r="H49" s="12">
        <f t="shared" si="1"/>
        <v>67.333333333333329</v>
      </c>
      <c r="I49" s="9" t="str">
        <f t="shared" si="2"/>
        <v>FALSE</v>
      </c>
      <c r="J49" s="12">
        <f t="shared" si="3"/>
        <v>0</v>
      </c>
    </row>
    <row r="50" spans="1:10" x14ac:dyDescent="0.25">
      <c r="A50" t="s">
        <v>30</v>
      </c>
      <c r="B50" t="str">
        <f>INDEX('DevMecca SS PCI Export'!$B:$B,MATCH('MTC Regional PCIs 2022-2025'!$A50,'DevMecca SS PCI Export'!$A:$A,0))</f>
        <v>Contra Costa County</v>
      </c>
      <c r="C50" s="9">
        <f>INDEX('SS PCI PivotTable'!$B:$B,MATCH('MTC Regional PCIs 2022-2025'!$A50,'SS PCI PivotTable'!$A:$A,0))</f>
        <v>69</v>
      </c>
      <c r="D50" s="9">
        <f>INDEX('SS PCI PivotTable'!$C:$C,MATCH('MTC Regional PCIs 2022-2025'!$A50,'SS PCI PivotTable'!$A:$A,0))</f>
        <v>69</v>
      </c>
      <c r="E50" s="9">
        <f>INDEX('SS PCI PivotTable'!$D:$D,MATCH('MTC Regional PCIs 2022-2025'!$A50,'SS PCI PivotTable'!$A:$A,0))</f>
        <v>69</v>
      </c>
      <c r="F50" s="9">
        <f>INDEX('SS PCI PivotTable'!$E:$E,MATCH('MTC Regional PCIs 2022-2025'!$A50,'SS PCI PivotTable'!$A:$A,0))</f>
        <v>68</v>
      </c>
      <c r="G50" s="12">
        <f t="shared" si="4"/>
        <v>69</v>
      </c>
      <c r="H50" s="12">
        <f t="shared" si="1"/>
        <v>68.666666666666671</v>
      </c>
      <c r="I50" s="9" t="str">
        <f t="shared" si="2"/>
        <v>TRUE</v>
      </c>
      <c r="J50" s="12">
        <f t="shared" si="3"/>
        <v>1</v>
      </c>
    </row>
    <row r="51" spans="1:10" x14ac:dyDescent="0.25">
      <c r="A51" t="s">
        <v>74</v>
      </c>
      <c r="B51" t="str">
        <f>INDEX('DevMecca SS PCI Export'!$B:$B,MATCH('MTC Regional PCIs 2022-2025'!$A51,'DevMecca SS PCI Export'!$A:$A,0))</f>
        <v>San Mateo County</v>
      </c>
      <c r="C51" s="9">
        <f>INDEX('SS PCI PivotTable'!$B:$B,MATCH('MTC Regional PCIs 2022-2025'!$A51,'SS PCI PivotTable'!$A:$A,0))</f>
        <v>77</v>
      </c>
      <c r="D51" s="9">
        <f>INDEX('SS PCI PivotTable'!$C:$C,MATCH('MTC Regional PCIs 2022-2025'!$A51,'SS PCI PivotTable'!$A:$A,0))</f>
        <v>76</v>
      </c>
      <c r="E51" s="9">
        <f>INDEX('SS PCI PivotTable'!$D:$D,MATCH('MTC Regional PCIs 2022-2025'!$A51,'SS PCI PivotTable'!$A:$A,0))</f>
        <v>75</v>
      </c>
      <c r="F51" s="9">
        <f>INDEX('SS PCI PivotTable'!$E:$E,MATCH('MTC Regional PCIs 2022-2025'!$A51,'SS PCI PivotTable'!$A:$A,0))</f>
        <v>75</v>
      </c>
      <c r="G51" s="12">
        <f t="shared" si="4"/>
        <v>76</v>
      </c>
      <c r="H51" s="12">
        <f t="shared" si="1"/>
        <v>75.333333333333329</v>
      </c>
      <c r="I51" s="9" t="str">
        <f t="shared" si="2"/>
        <v>TRUE</v>
      </c>
      <c r="J51" s="12">
        <f t="shared" si="3"/>
        <v>1</v>
      </c>
    </row>
    <row r="52" spans="1:10" x14ac:dyDescent="0.25">
      <c r="A52" t="s">
        <v>75</v>
      </c>
      <c r="B52" t="str">
        <f>INDEX('DevMecca SS PCI Export'!$B:$B,MATCH('MTC Regional PCIs 2022-2025'!$A52,'DevMecca SS PCI Export'!$A:$A,0))</f>
        <v>San Mateo County</v>
      </c>
      <c r="C52" s="9">
        <f>INDEX('SS PCI PivotTable'!$B:$B,MATCH('MTC Regional PCIs 2022-2025'!$A52,'SS PCI PivotTable'!$A:$A,0))</f>
        <v>54</v>
      </c>
      <c r="D52" s="9">
        <f>INDEX('SS PCI PivotTable'!$C:$C,MATCH('MTC Regional PCIs 2022-2025'!$A52,'SS PCI PivotTable'!$A:$A,0))</f>
        <v>52</v>
      </c>
      <c r="E52" s="9">
        <f>INDEX('SS PCI PivotTable'!$D:$D,MATCH('MTC Regional PCIs 2022-2025'!$A52,'SS PCI PivotTable'!$A:$A,0))</f>
        <v>50</v>
      </c>
      <c r="F52" s="9">
        <f>INDEX('SS PCI PivotTable'!$E:$E,MATCH('MTC Regional PCIs 2022-2025'!$A52,'SS PCI PivotTable'!$A:$A,0))</f>
        <v>49</v>
      </c>
      <c r="G52" s="12">
        <f t="shared" si="4"/>
        <v>52</v>
      </c>
      <c r="H52" s="12">
        <f t="shared" si="1"/>
        <v>50.333333333333336</v>
      </c>
      <c r="I52" s="9" t="str">
        <f t="shared" si="2"/>
        <v>TRUE</v>
      </c>
      <c r="J52" s="12">
        <f t="shared" si="3"/>
        <v>3</v>
      </c>
    </row>
    <row r="53" spans="1:10" x14ac:dyDescent="0.25">
      <c r="A53" t="s">
        <v>47</v>
      </c>
      <c r="B53" t="str">
        <f>INDEX('DevMecca SS PCI Export'!$B:$B,MATCH('MTC Regional PCIs 2022-2025'!$A53,'DevMecca SS PCI Export'!$A:$A,0))</f>
        <v>Marin County</v>
      </c>
      <c r="C53" s="9">
        <f>INDEX('SS PCI PivotTable'!$B:$B,MATCH('MTC Regional PCIs 2022-2025'!$A53,'SS PCI PivotTable'!$A:$A,0))</f>
        <v>76</v>
      </c>
      <c r="D53" s="9">
        <f>INDEX('SS PCI PivotTable'!$C:$C,MATCH('MTC Regional PCIs 2022-2025'!$A53,'SS PCI PivotTable'!$A:$A,0))</f>
        <v>74</v>
      </c>
      <c r="E53" s="9">
        <f>INDEX('SS PCI PivotTable'!$D:$D,MATCH('MTC Regional PCIs 2022-2025'!$A53,'SS PCI PivotTable'!$A:$A,0))</f>
        <v>79</v>
      </c>
      <c r="F53" s="9">
        <f>INDEX('SS PCI PivotTable'!$E:$E,MATCH('MTC Regional PCIs 2022-2025'!$A53,'SS PCI PivotTable'!$A:$A,0))</f>
        <v>78</v>
      </c>
      <c r="G53" s="12">
        <f t="shared" si="4"/>
        <v>76.333333333333329</v>
      </c>
      <c r="H53" s="12">
        <f t="shared" si="1"/>
        <v>77</v>
      </c>
      <c r="I53" s="9" t="str">
        <f t="shared" si="2"/>
        <v>FALSE</v>
      </c>
      <c r="J53" s="12">
        <f t="shared" si="3"/>
        <v>-1.6666666666666714</v>
      </c>
    </row>
    <row r="54" spans="1:10" x14ac:dyDescent="0.25">
      <c r="A54" t="s">
        <v>92</v>
      </c>
      <c r="B54" t="str">
        <f>INDEX('DevMecca SS PCI Export'!$B:$B,MATCH('MTC Regional PCIs 2022-2025'!$A54,'DevMecca SS PCI Export'!$A:$A,0))</f>
        <v>Santa Clara County</v>
      </c>
      <c r="C54" s="9">
        <f>INDEX('SS PCI PivotTable'!$B:$B,MATCH('MTC Regional PCIs 2022-2025'!$A54,'SS PCI PivotTable'!$A:$A,0))</f>
        <v>68</v>
      </c>
      <c r="D54" s="9">
        <f>INDEX('SS PCI PivotTable'!$C:$C,MATCH('MTC Regional PCIs 2022-2025'!$A54,'SS PCI PivotTable'!$A:$A,0))</f>
        <v>71</v>
      </c>
      <c r="E54" s="9">
        <f>INDEX('SS PCI PivotTable'!$D:$D,MATCH('MTC Regional PCIs 2022-2025'!$A54,'SS PCI PivotTable'!$A:$A,0))</f>
        <v>68</v>
      </c>
      <c r="F54" s="9">
        <f>INDEX('SS PCI PivotTable'!$E:$E,MATCH('MTC Regional PCIs 2022-2025'!$A54,'SS PCI PivotTable'!$A:$A,0))</f>
        <v>67</v>
      </c>
      <c r="G54" s="12">
        <f t="shared" si="4"/>
        <v>69</v>
      </c>
      <c r="H54" s="12">
        <f t="shared" si="1"/>
        <v>68.666666666666671</v>
      </c>
      <c r="I54" s="9" t="str">
        <f t="shared" si="2"/>
        <v>TRUE</v>
      </c>
      <c r="J54" s="12">
        <f t="shared" si="3"/>
        <v>2</v>
      </c>
    </row>
    <row r="55" spans="1:10" x14ac:dyDescent="0.25">
      <c r="A55" t="s">
        <v>93</v>
      </c>
      <c r="B55" t="str">
        <f>INDEX('DevMecca SS PCI Export'!$B:$B,MATCH('MTC Regional PCIs 2022-2025'!$A55,'DevMecca SS PCI Export'!$A:$A,0))</f>
        <v>Santa Clara County</v>
      </c>
      <c r="C55" s="9">
        <f>INDEX('SS PCI PivotTable'!$B:$B,MATCH('MTC Regional PCIs 2022-2025'!$A55,'SS PCI PivotTable'!$A:$A,0))</f>
        <v>72</v>
      </c>
      <c r="D55" s="9">
        <f>INDEX('SS PCI PivotTable'!$C:$C,MATCH('MTC Regional PCIs 2022-2025'!$A55,'SS PCI PivotTable'!$A:$A,0))</f>
        <v>70</v>
      </c>
      <c r="E55" s="9">
        <f>INDEX('SS PCI PivotTable'!$D:$D,MATCH('MTC Regional PCIs 2022-2025'!$A55,'SS PCI PivotTable'!$A:$A,0))</f>
        <v>74</v>
      </c>
      <c r="F55" s="9">
        <f>INDEX('SS PCI PivotTable'!$E:$E,MATCH('MTC Regional PCIs 2022-2025'!$A55,'SS PCI PivotTable'!$A:$A,0))</f>
        <v>73</v>
      </c>
      <c r="G55" s="12">
        <f t="shared" si="4"/>
        <v>72</v>
      </c>
      <c r="H55" s="12">
        <f t="shared" si="1"/>
        <v>72.333333333333329</v>
      </c>
      <c r="I55" s="9" t="str">
        <f t="shared" si="2"/>
        <v>FALSE</v>
      </c>
      <c r="J55" s="12">
        <f t="shared" si="3"/>
        <v>-1</v>
      </c>
    </row>
    <row r="56" spans="1:10" x14ac:dyDescent="0.25">
      <c r="A56" t="s">
        <v>31</v>
      </c>
      <c r="B56" t="str">
        <f>INDEX('DevMecca SS PCI Export'!$B:$B,MATCH('MTC Regional PCIs 2022-2025'!$A56,'DevMecca SS PCI Export'!$A:$A,0))</f>
        <v>Contra Costa County</v>
      </c>
      <c r="C56" s="9">
        <f>INDEX('SS PCI PivotTable'!$B:$B,MATCH('MTC Regional PCIs 2022-2025'!$A56,'SS PCI PivotTable'!$A:$A,0))</f>
        <v>71</v>
      </c>
      <c r="D56" s="9">
        <f>INDEX('SS PCI PivotTable'!$C:$C,MATCH('MTC Regional PCIs 2022-2025'!$A56,'SS PCI PivotTable'!$A:$A,0))</f>
        <v>76</v>
      </c>
      <c r="E56" s="9">
        <f>INDEX('SS PCI PivotTable'!$D:$D,MATCH('MTC Regional PCIs 2022-2025'!$A56,'SS PCI PivotTable'!$A:$A,0))</f>
        <v>74</v>
      </c>
      <c r="F56" s="9">
        <f>INDEX('SS PCI PivotTable'!$E:$E,MATCH('MTC Regional PCIs 2022-2025'!$A56,'SS PCI PivotTable'!$A:$A,0))</f>
        <v>76</v>
      </c>
      <c r="G56" s="12">
        <f t="shared" si="4"/>
        <v>73.666666666666671</v>
      </c>
      <c r="H56" s="12">
        <f t="shared" si="1"/>
        <v>75.333333333333329</v>
      </c>
      <c r="I56" s="9" t="str">
        <f t="shared" si="2"/>
        <v>FALSE</v>
      </c>
      <c r="J56" s="12">
        <f t="shared" si="3"/>
        <v>-2.3333333333333286</v>
      </c>
    </row>
    <row r="57" spans="1:10" x14ac:dyDescent="0.25">
      <c r="A57" t="s">
        <v>94</v>
      </c>
      <c r="B57" t="str">
        <f>INDEX('DevMecca SS PCI Export'!$B:$B,MATCH('MTC Regional PCIs 2022-2025'!$A57,'DevMecca SS PCI Export'!$A:$A,0))</f>
        <v>Santa Clara County</v>
      </c>
      <c r="C57" s="9">
        <f>INDEX('SS PCI PivotTable'!$B:$B,MATCH('MTC Regional PCIs 2022-2025'!$A57,'SS PCI PivotTable'!$A:$A,0))</f>
        <v>75</v>
      </c>
      <c r="D57" s="9">
        <f>INDEX('SS PCI PivotTable'!$C:$C,MATCH('MTC Regional PCIs 2022-2025'!$A57,'SS PCI PivotTable'!$A:$A,0))</f>
        <v>75</v>
      </c>
      <c r="E57" s="9">
        <f>INDEX('SS PCI PivotTable'!$D:$D,MATCH('MTC Regional PCIs 2022-2025'!$A57,'SS PCI PivotTable'!$A:$A,0))</f>
        <v>74</v>
      </c>
      <c r="F57" s="9">
        <f>INDEX('SS PCI PivotTable'!$E:$E,MATCH('MTC Regional PCIs 2022-2025'!$A57,'SS PCI PivotTable'!$A:$A,0))</f>
        <v>73</v>
      </c>
      <c r="G57" s="12">
        <f t="shared" si="4"/>
        <v>74.666666666666671</v>
      </c>
      <c r="H57" s="12">
        <f t="shared" si="1"/>
        <v>74</v>
      </c>
      <c r="I57" s="9" t="str">
        <f t="shared" si="2"/>
        <v>TRUE</v>
      </c>
      <c r="J57" s="12">
        <f t="shared" si="3"/>
        <v>1.6666666666666714</v>
      </c>
    </row>
    <row r="58" spans="1:10" x14ac:dyDescent="0.25">
      <c r="A58" t="s">
        <v>95</v>
      </c>
      <c r="B58" t="str">
        <f>INDEX('DevMecca SS PCI Export'!$B:$B,MATCH('MTC Regional PCIs 2022-2025'!$A58,'DevMecca SS PCI Export'!$A:$A,0))</f>
        <v>Santa Clara County</v>
      </c>
      <c r="C58" s="9">
        <f>INDEX('SS PCI PivotTable'!$B:$B,MATCH('MTC Regional PCIs 2022-2025'!$A58,'SS PCI PivotTable'!$A:$A,0))</f>
        <v>68</v>
      </c>
      <c r="D58" s="9">
        <f>INDEX('SS PCI PivotTable'!$C:$C,MATCH('MTC Regional PCIs 2022-2025'!$A58,'SS PCI PivotTable'!$A:$A,0))</f>
        <v>67</v>
      </c>
      <c r="E58" s="9">
        <f>INDEX('SS PCI PivotTable'!$D:$D,MATCH('MTC Regional PCIs 2022-2025'!$A58,'SS PCI PivotTable'!$A:$A,0))</f>
        <v>65</v>
      </c>
      <c r="F58" s="9">
        <f>INDEX('SS PCI PivotTable'!$E:$E,MATCH('MTC Regional PCIs 2022-2025'!$A58,'SS PCI PivotTable'!$A:$A,0))</f>
        <v>64</v>
      </c>
      <c r="G58" s="12">
        <f t="shared" si="4"/>
        <v>66.666666666666671</v>
      </c>
      <c r="H58" s="12">
        <f t="shared" si="1"/>
        <v>65.333333333333329</v>
      </c>
      <c r="I58" s="9" t="str">
        <f t="shared" si="2"/>
        <v>TRUE</v>
      </c>
      <c r="J58" s="12">
        <f t="shared" si="3"/>
        <v>2.6666666666666714</v>
      </c>
    </row>
    <row r="59" spans="1:10" x14ac:dyDescent="0.25">
      <c r="A59" t="s">
        <v>58</v>
      </c>
      <c r="B59" t="str">
        <f>INDEX('DevMecca SS PCI Export'!$B:$B,MATCH('MTC Regional PCIs 2022-2025'!$A59,'DevMecca SS PCI Export'!$A:$A,0))</f>
        <v>Napa County</v>
      </c>
      <c r="C59" s="9">
        <f>INDEX('SS PCI PivotTable'!$B:$B,MATCH('MTC Regional PCIs 2022-2025'!$A59,'SS PCI PivotTable'!$A:$A,0))</f>
        <v>62</v>
      </c>
      <c r="D59" s="9">
        <f>INDEX('SS PCI PivotTable'!$C:$C,MATCH('MTC Regional PCIs 2022-2025'!$A59,'SS PCI PivotTable'!$A:$A,0))</f>
        <v>61</v>
      </c>
      <c r="E59" s="9">
        <f>INDEX('SS PCI PivotTable'!$D:$D,MATCH('MTC Regional PCIs 2022-2025'!$A59,'SS PCI PivotTable'!$A:$A,0))</f>
        <v>65</v>
      </c>
      <c r="F59" s="9">
        <f>INDEX('SS PCI PivotTable'!$E:$E,MATCH('MTC Regional PCIs 2022-2025'!$A59,'SS PCI PivotTable'!$A:$A,0))</f>
        <v>64</v>
      </c>
      <c r="G59" s="12">
        <f t="shared" si="4"/>
        <v>62.666666666666664</v>
      </c>
      <c r="H59" s="12">
        <f t="shared" si="1"/>
        <v>63.333333333333336</v>
      </c>
      <c r="I59" s="9" t="str">
        <f t="shared" si="2"/>
        <v>FALSE</v>
      </c>
      <c r="J59" s="12">
        <f t="shared" si="3"/>
        <v>-1.3333333333333357</v>
      </c>
    </row>
    <row r="60" spans="1:10" x14ac:dyDescent="0.25">
      <c r="A60" t="s">
        <v>59</v>
      </c>
      <c r="B60" t="str">
        <f>INDEX('DevMecca SS PCI Export'!$B:$B,MATCH('MTC Regional PCIs 2022-2025'!$A60,'DevMecca SS PCI Export'!$A:$A,0))</f>
        <v>Napa County</v>
      </c>
      <c r="C60" s="9">
        <f>INDEX('SS PCI PivotTable'!$B:$B,MATCH('MTC Regional PCIs 2022-2025'!$A60,'SS PCI PivotTable'!$A:$A,0))</f>
        <v>45</v>
      </c>
      <c r="D60" s="9">
        <f>INDEX('SS PCI PivotTable'!$C:$C,MATCH('MTC Regional PCIs 2022-2025'!$A60,'SS PCI PivotTable'!$A:$A,0))</f>
        <v>52</v>
      </c>
      <c r="E60" s="9">
        <f>INDEX('SS PCI PivotTable'!$D:$D,MATCH('MTC Regional PCIs 2022-2025'!$A60,'SS PCI PivotTable'!$A:$A,0))</f>
        <v>54</v>
      </c>
      <c r="F60" s="9">
        <f>INDEX('SS PCI PivotTable'!$E:$E,MATCH('MTC Regional PCIs 2022-2025'!$A60,'SS PCI PivotTable'!$A:$A,0))</f>
        <v>53</v>
      </c>
      <c r="G60" s="12">
        <f t="shared" si="4"/>
        <v>50.333333333333336</v>
      </c>
      <c r="H60" s="12">
        <f t="shared" si="1"/>
        <v>53</v>
      </c>
      <c r="I60" s="9" t="str">
        <f t="shared" si="2"/>
        <v>FALSE</v>
      </c>
      <c r="J60" s="12">
        <f t="shared" si="3"/>
        <v>-2.6666666666666643</v>
      </c>
    </row>
    <row r="61" spans="1:10" x14ac:dyDescent="0.25">
      <c r="A61" t="s">
        <v>14</v>
      </c>
      <c r="B61" t="str">
        <f>INDEX('DevMecca SS PCI Export'!$B:$B,MATCH('MTC Regional PCIs 2022-2025'!$A61,'DevMecca SS PCI Export'!$A:$A,0))</f>
        <v>Alameda County</v>
      </c>
      <c r="C61" s="9">
        <f>INDEX('SS PCI PivotTable'!$B:$B,MATCH('MTC Regional PCIs 2022-2025'!$A61,'SS PCI PivotTable'!$A:$A,0))</f>
        <v>71</v>
      </c>
      <c r="D61" s="9">
        <f>INDEX('SS PCI PivotTable'!$C:$C,MATCH('MTC Regional PCIs 2022-2025'!$A61,'SS PCI PivotTable'!$A:$A,0))</f>
        <v>72</v>
      </c>
      <c r="E61" s="9">
        <f>INDEX('SS PCI PivotTable'!$D:$D,MATCH('MTC Regional PCIs 2022-2025'!$A61,'SS PCI PivotTable'!$A:$A,0))</f>
        <v>71</v>
      </c>
      <c r="F61" s="9">
        <f>INDEX('SS PCI PivotTable'!$E:$E,MATCH('MTC Regional PCIs 2022-2025'!$A61,'SS PCI PivotTable'!$A:$A,0))</f>
        <v>70</v>
      </c>
      <c r="G61" s="12">
        <f t="shared" si="4"/>
        <v>71.333333333333329</v>
      </c>
      <c r="H61" s="12">
        <f t="shared" si="1"/>
        <v>71</v>
      </c>
      <c r="I61" s="9" t="str">
        <f t="shared" si="2"/>
        <v>TRUE</v>
      </c>
      <c r="J61" s="12">
        <f t="shared" si="3"/>
        <v>1.3333333333333286</v>
      </c>
    </row>
    <row r="62" spans="1:10" x14ac:dyDescent="0.25">
      <c r="A62" t="s">
        <v>48</v>
      </c>
      <c r="B62" t="str">
        <f>INDEX('DevMecca SS PCI Export'!$B:$B,MATCH('MTC Regional PCIs 2022-2025'!$A62,'DevMecca SS PCI Export'!$A:$A,0))</f>
        <v>Marin County</v>
      </c>
      <c r="C62" s="9">
        <f>INDEX('SS PCI PivotTable'!$B:$B,MATCH('MTC Regional PCIs 2022-2025'!$A62,'SS PCI PivotTable'!$A:$A,0))</f>
        <v>65</v>
      </c>
      <c r="D62" s="9">
        <f>INDEX('SS PCI PivotTable'!$C:$C,MATCH('MTC Regional PCIs 2022-2025'!$A62,'SS PCI PivotTable'!$A:$A,0))</f>
        <v>63</v>
      </c>
      <c r="E62" s="9">
        <f>INDEX('SS PCI PivotTable'!$D:$D,MATCH('MTC Regional PCIs 2022-2025'!$A62,'SS PCI PivotTable'!$A:$A,0))</f>
        <v>62</v>
      </c>
      <c r="F62" s="9">
        <f>INDEX('SS PCI PivotTable'!$E:$E,MATCH('MTC Regional PCIs 2022-2025'!$A62,'SS PCI PivotTable'!$A:$A,0))</f>
        <v>60</v>
      </c>
      <c r="G62" s="12">
        <f t="shared" si="4"/>
        <v>63.333333333333336</v>
      </c>
      <c r="H62" s="12">
        <f t="shared" si="1"/>
        <v>61.666666666666664</v>
      </c>
      <c r="I62" s="9" t="str">
        <f t="shared" si="2"/>
        <v>TRUE</v>
      </c>
      <c r="J62" s="12">
        <f t="shared" si="3"/>
        <v>3.3333333333333357</v>
      </c>
    </row>
    <row r="63" spans="1:10" x14ac:dyDescent="0.25">
      <c r="A63" t="s">
        <v>15</v>
      </c>
      <c r="B63" t="str">
        <f>INDEX('DevMecca SS PCI Export'!$B:$B,MATCH('MTC Regional PCIs 2022-2025'!$A63,'DevMecca SS PCI Export'!$A:$A,0))</f>
        <v>Alameda County</v>
      </c>
      <c r="C63" s="9">
        <f>INDEX('SS PCI PivotTable'!$B:$B,MATCH('MTC Regional PCIs 2022-2025'!$A63,'SS PCI PivotTable'!$A:$A,0))</f>
        <v>57</v>
      </c>
      <c r="D63" s="9">
        <f>INDEX('SS PCI PivotTable'!$C:$C,MATCH('MTC Regional PCIs 2022-2025'!$A63,'SS PCI PivotTable'!$A:$A,0))</f>
        <v>56</v>
      </c>
      <c r="E63" s="9">
        <f>INDEX('SS PCI PivotTable'!$D:$D,MATCH('MTC Regional PCIs 2022-2025'!$A63,'SS PCI PivotTable'!$A:$A,0))</f>
        <v>60</v>
      </c>
      <c r="F63" s="9">
        <f>INDEX('SS PCI PivotTable'!$E:$E,MATCH('MTC Regional PCIs 2022-2025'!$A63,'SS PCI PivotTable'!$A:$A,0))</f>
        <v>59</v>
      </c>
      <c r="G63" s="12">
        <f t="shared" si="4"/>
        <v>57.666666666666664</v>
      </c>
      <c r="H63" s="12">
        <f t="shared" si="1"/>
        <v>58.333333333333336</v>
      </c>
      <c r="I63" s="9" t="str">
        <f t="shared" si="2"/>
        <v>FALSE</v>
      </c>
      <c r="J63" s="12">
        <f t="shared" si="3"/>
        <v>-1.3333333333333357</v>
      </c>
    </row>
    <row r="64" spans="1:10" x14ac:dyDescent="0.25">
      <c r="A64" t="s">
        <v>32</v>
      </c>
      <c r="B64" t="str">
        <f>INDEX('DevMecca SS PCI Export'!$B:$B,MATCH('MTC Regional PCIs 2022-2025'!$A64,'DevMecca SS PCI Export'!$A:$A,0))</f>
        <v>Contra Costa County</v>
      </c>
      <c r="C64" s="9">
        <f>INDEX('SS PCI PivotTable'!$B:$B,MATCH('MTC Regional PCIs 2022-2025'!$A64,'SS PCI PivotTable'!$A:$A,0))</f>
        <v>71</v>
      </c>
      <c r="D64" s="9">
        <f>INDEX('SS PCI PivotTable'!$C:$C,MATCH('MTC Regional PCIs 2022-2025'!$A64,'SS PCI PivotTable'!$A:$A,0))</f>
        <v>70</v>
      </c>
      <c r="E64" s="9">
        <f>INDEX('SS PCI PivotTable'!$D:$D,MATCH('MTC Regional PCIs 2022-2025'!$A64,'SS PCI PivotTable'!$A:$A,0))</f>
        <v>68</v>
      </c>
      <c r="F64" s="9">
        <f>INDEX('SS PCI PivotTable'!$E:$E,MATCH('MTC Regional PCIs 2022-2025'!$A64,'SS PCI PivotTable'!$A:$A,0))</f>
        <v>67</v>
      </c>
      <c r="G64" s="12">
        <f t="shared" si="4"/>
        <v>69.666666666666671</v>
      </c>
      <c r="H64" s="12">
        <f t="shared" si="1"/>
        <v>68.333333333333329</v>
      </c>
      <c r="I64" s="9" t="str">
        <f t="shared" si="2"/>
        <v>TRUE</v>
      </c>
      <c r="J64" s="12">
        <f t="shared" si="3"/>
        <v>2.6666666666666714</v>
      </c>
    </row>
    <row r="65" spans="1:10" x14ac:dyDescent="0.25">
      <c r="A65" t="s">
        <v>33</v>
      </c>
      <c r="B65" t="str">
        <f>INDEX('DevMecca SS PCI Export'!$B:$B,MATCH('MTC Regional PCIs 2022-2025'!$A65,'DevMecca SS PCI Export'!$A:$A,0))</f>
        <v>Contra Costa County</v>
      </c>
      <c r="C65" s="9">
        <f>INDEX('SS PCI PivotTable'!$B:$B,MATCH('MTC Regional PCIs 2022-2025'!$A65,'SS PCI PivotTable'!$A:$A,0))</f>
        <v>84</v>
      </c>
      <c r="D65" s="9">
        <f>INDEX('SS PCI PivotTable'!$C:$C,MATCH('MTC Regional PCIs 2022-2025'!$A65,'SS PCI PivotTable'!$A:$A,0))</f>
        <v>82</v>
      </c>
      <c r="E65" s="9">
        <f>INDEX('SS PCI PivotTable'!$D:$D,MATCH('MTC Regional PCIs 2022-2025'!$A65,'SS PCI PivotTable'!$A:$A,0))</f>
        <v>80</v>
      </c>
      <c r="F65" s="9">
        <f>INDEX('SS PCI PivotTable'!$E:$E,MATCH('MTC Regional PCIs 2022-2025'!$A65,'SS PCI PivotTable'!$A:$A,0))</f>
        <v>80</v>
      </c>
      <c r="G65" s="12">
        <f t="shared" si="4"/>
        <v>82</v>
      </c>
      <c r="H65" s="12">
        <f t="shared" si="1"/>
        <v>80.666666666666671</v>
      </c>
      <c r="I65" s="9" t="str">
        <f t="shared" si="2"/>
        <v>TRUE</v>
      </c>
      <c r="J65" s="12">
        <f t="shared" si="3"/>
        <v>2</v>
      </c>
    </row>
    <row r="66" spans="1:10" x14ac:dyDescent="0.25">
      <c r="A66" t="s">
        <v>76</v>
      </c>
      <c r="B66" t="str">
        <f>INDEX('DevMecca SS PCI Export'!$B:$B,MATCH('MTC Regional PCIs 2022-2025'!$A66,'DevMecca SS PCI Export'!$A:$A,0))</f>
        <v>San Mateo County</v>
      </c>
      <c r="C66" s="9">
        <f>INDEX('SS PCI PivotTable'!$B:$B,MATCH('MTC Regional PCIs 2022-2025'!$A66,'SS PCI PivotTable'!$A:$A,0))</f>
        <v>49</v>
      </c>
      <c r="D66" s="9">
        <f>INDEX('SS PCI PivotTable'!$C:$C,MATCH('MTC Regional PCIs 2022-2025'!$A66,'SS PCI PivotTable'!$A:$A,0))</f>
        <v>50</v>
      </c>
      <c r="E66" s="9">
        <f>INDEX('SS PCI PivotTable'!$D:$D,MATCH('MTC Regional PCIs 2022-2025'!$A66,'SS PCI PivotTable'!$A:$A,0))</f>
        <v>50</v>
      </c>
      <c r="F66" s="9">
        <f>INDEX('SS PCI PivotTable'!$E:$E,MATCH('MTC Regional PCIs 2022-2025'!$A66,'SS PCI PivotTable'!$A:$A,0))</f>
        <v>49</v>
      </c>
      <c r="G66" s="12">
        <f t="shared" si="4"/>
        <v>49.666666666666664</v>
      </c>
      <c r="H66" s="12">
        <f t="shared" si="1"/>
        <v>49.666666666666664</v>
      </c>
      <c r="I66" s="9" t="str">
        <f t="shared" si="2"/>
        <v>TRUE</v>
      </c>
      <c r="J66" s="12">
        <f t="shared" si="3"/>
        <v>0.6666666666666643</v>
      </c>
    </row>
    <row r="67" spans="1:10" x14ac:dyDescent="0.25">
      <c r="A67" t="s">
        <v>96</v>
      </c>
      <c r="B67" t="str">
        <f>INDEX('DevMecca SS PCI Export'!$B:$B,MATCH('MTC Regional PCIs 2022-2025'!$A67,'DevMecca SS PCI Export'!$A:$A,0))</f>
        <v>Santa Clara County</v>
      </c>
      <c r="C67" s="9">
        <f>INDEX('SS PCI PivotTable'!$B:$B,MATCH('MTC Regional PCIs 2022-2025'!$A67,'SS PCI PivotTable'!$A:$A,0))</f>
        <v>83</v>
      </c>
      <c r="D67" s="9">
        <f>INDEX('SS PCI PivotTable'!$C:$C,MATCH('MTC Regional PCIs 2022-2025'!$A67,'SS PCI PivotTable'!$A:$A,0))</f>
        <v>84</v>
      </c>
      <c r="E67" s="9">
        <f>INDEX('SS PCI PivotTable'!$D:$D,MATCH('MTC Regional PCIs 2022-2025'!$A67,'SS PCI PivotTable'!$A:$A,0))</f>
        <v>83</v>
      </c>
      <c r="F67" s="9">
        <f>INDEX('SS PCI PivotTable'!$E:$E,MATCH('MTC Regional PCIs 2022-2025'!$A67,'SS PCI PivotTable'!$A:$A,0))</f>
        <v>82</v>
      </c>
      <c r="G67" s="12">
        <f t="shared" si="4"/>
        <v>83.333333333333329</v>
      </c>
      <c r="H67" s="12">
        <f t="shared" ref="H67:H110" si="5">AVERAGE($D67:$F67)</f>
        <v>83</v>
      </c>
      <c r="I67" s="9" t="str">
        <f t="shared" ref="I67:I110" si="6">IF($G67&gt;$F67,"TRUE","FALSE")</f>
        <v>TRUE</v>
      </c>
      <c r="J67" s="12">
        <f t="shared" ref="J67:J110" si="7">$G67-$F67</f>
        <v>1.3333333333333286</v>
      </c>
    </row>
    <row r="68" spans="1:10" x14ac:dyDescent="0.25">
      <c r="A68" t="s">
        <v>115</v>
      </c>
      <c r="B68" t="str">
        <f>INDEX('DevMecca SS PCI Export'!$B:$B,MATCH('MTC Regional PCIs 2022-2025'!$A68,'DevMecca SS PCI Export'!$A:$A,0))</f>
        <v>Sonoma County</v>
      </c>
      <c r="C68" s="9">
        <f>INDEX('SS PCI PivotTable'!$B:$B,MATCH('MTC Regional PCIs 2022-2025'!$A68,'SS PCI PivotTable'!$A:$A,0))</f>
        <v>43</v>
      </c>
      <c r="D68" s="9">
        <f>INDEX('SS PCI PivotTable'!$C:$C,MATCH('MTC Regional PCIs 2022-2025'!$A68,'SS PCI PivotTable'!$A:$A,0))</f>
        <v>55</v>
      </c>
      <c r="E68" s="9">
        <f>INDEX('SS PCI PivotTable'!$D:$D,MATCH('MTC Regional PCIs 2022-2025'!$A68,'SS PCI PivotTable'!$A:$A,0))</f>
        <v>52</v>
      </c>
      <c r="F68" s="9">
        <f>INDEX('SS PCI PivotTable'!$E:$E,MATCH('MTC Regional PCIs 2022-2025'!$A68,'SS PCI PivotTable'!$A:$A,0))</f>
        <v>51</v>
      </c>
      <c r="G68" s="12">
        <f t="shared" si="4"/>
        <v>50</v>
      </c>
      <c r="H68" s="12">
        <f t="shared" si="5"/>
        <v>52.666666666666664</v>
      </c>
      <c r="I68" s="9" t="str">
        <f t="shared" si="6"/>
        <v>FALSE</v>
      </c>
      <c r="J68" s="12">
        <f t="shared" si="7"/>
        <v>-1</v>
      </c>
    </row>
    <row r="69" spans="1:10" x14ac:dyDescent="0.25">
      <c r="A69" t="s">
        <v>16</v>
      </c>
      <c r="B69" t="str">
        <f>INDEX('DevMecca SS PCI Export'!$B:$B,MATCH('MTC Regional PCIs 2022-2025'!$A69,'DevMecca SS PCI Export'!$A:$A,0))</f>
        <v>Alameda County</v>
      </c>
      <c r="C69" s="9">
        <f>INDEX('SS PCI PivotTable'!$B:$B,MATCH('MTC Regional PCIs 2022-2025'!$A69,'SS PCI PivotTable'!$A:$A,0))</f>
        <v>64</v>
      </c>
      <c r="D69" s="9">
        <f>INDEX('SS PCI PivotTable'!$C:$C,MATCH('MTC Regional PCIs 2022-2025'!$A69,'SS PCI PivotTable'!$A:$A,0))</f>
        <v>62</v>
      </c>
      <c r="E69" s="9">
        <f>INDEX('SS PCI PivotTable'!$D:$D,MATCH('MTC Regional PCIs 2022-2025'!$A69,'SS PCI PivotTable'!$A:$A,0))</f>
        <v>60</v>
      </c>
      <c r="F69" s="9">
        <f>INDEX('SS PCI PivotTable'!$E:$E,MATCH('MTC Regional PCIs 2022-2025'!$A69,'SS PCI PivotTable'!$A:$A,0))</f>
        <v>59</v>
      </c>
      <c r="G69" s="12">
        <f t="shared" si="4"/>
        <v>62</v>
      </c>
      <c r="H69" s="12">
        <f t="shared" si="5"/>
        <v>60.333333333333336</v>
      </c>
      <c r="I69" s="9" t="str">
        <f t="shared" si="6"/>
        <v>TRUE</v>
      </c>
      <c r="J69" s="12">
        <f t="shared" si="7"/>
        <v>3</v>
      </c>
    </row>
    <row r="70" spans="1:10" x14ac:dyDescent="0.25">
      <c r="A70" t="s">
        <v>34</v>
      </c>
      <c r="B70" t="str">
        <f>INDEX('DevMecca SS PCI Export'!$B:$B,MATCH('MTC Regional PCIs 2022-2025'!$A70,'DevMecca SS PCI Export'!$A:$A,0))</f>
        <v>Contra Costa County</v>
      </c>
      <c r="C70" s="9">
        <f>INDEX('SS PCI PivotTable'!$B:$B,MATCH('MTC Regional PCIs 2022-2025'!$A70,'SS PCI PivotTable'!$A:$A,0))</f>
        <v>55</v>
      </c>
      <c r="D70" s="9">
        <f>INDEX('SS PCI PivotTable'!$C:$C,MATCH('MTC Regional PCIs 2022-2025'!$A70,'SS PCI PivotTable'!$A:$A,0))</f>
        <v>56</v>
      </c>
      <c r="E70" s="9">
        <f>INDEX('SS PCI PivotTable'!$D:$D,MATCH('MTC Regional PCIs 2022-2025'!$A70,'SS PCI PivotTable'!$A:$A,0))</f>
        <v>53</v>
      </c>
      <c r="F70" s="9">
        <f>INDEX('SS PCI PivotTable'!$E:$E,MATCH('MTC Regional PCIs 2022-2025'!$A70,'SS PCI PivotTable'!$A:$A,0))</f>
        <v>52</v>
      </c>
      <c r="G70" s="12">
        <f t="shared" si="4"/>
        <v>54.666666666666664</v>
      </c>
      <c r="H70" s="12">
        <f t="shared" si="5"/>
        <v>53.666666666666664</v>
      </c>
      <c r="I70" s="9" t="str">
        <f t="shared" si="6"/>
        <v>TRUE</v>
      </c>
      <c r="J70" s="12">
        <f t="shared" si="7"/>
        <v>2.6666666666666643</v>
      </c>
    </row>
    <row r="71" spans="1:10" x14ac:dyDescent="0.25">
      <c r="A71" t="s">
        <v>35</v>
      </c>
      <c r="B71" t="str">
        <f>INDEX('DevMecca SS PCI Export'!$B:$B,MATCH('MTC Regional PCIs 2022-2025'!$A71,'DevMecca SS PCI Export'!$A:$A,0))</f>
        <v>Contra Costa County</v>
      </c>
      <c r="C71" s="9">
        <f>INDEX('SS PCI PivotTable'!$B:$B,MATCH('MTC Regional PCIs 2022-2025'!$A71,'SS PCI PivotTable'!$A:$A,0))</f>
        <v>59</v>
      </c>
      <c r="D71" s="9">
        <f>INDEX('SS PCI PivotTable'!$C:$C,MATCH('MTC Regional PCIs 2022-2025'!$A71,'SS PCI PivotTable'!$A:$A,0))</f>
        <v>59</v>
      </c>
      <c r="E71" s="9">
        <f>INDEX('SS PCI PivotTable'!$D:$D,MATCH('MTC Regional PCIs 2022-2025'!$A71,'SS PCI PivotTable'!$A:$A,0))</f>
        <v>60</v>
      </c>
      <c r="F71" s="9">
        <f>INDEX('SS PCI PivotTable'!$E:$E,MATCH('MTC Regional PCIs 2022-2025'!$A71,'SS PCI PivotTable'!$A:$A,0))</f>
        <v>59</v>
      </c>
      <c r="G71" s="12">
        <f t="shared" si="4"/>
        <v>59.333333333333336</v>
      </c>
      <c r="H71" s="12">
        <f t="shared" si="5"/>
        <v>59.333333333333336</v>
      </c>
      <c r="I71" s="9" t="str">
        <f t="shared" si="6"/>
        <v>TRUE</v>
      </c>
      <c r="J71" s="12">
        <f t="shared" si="7"/>
        <v>0.3333333333333357</v>
      </c>
    </row>
    <row r="72" spans="1:10" x14ac:dyDescent="0.25">
      <c r="A72" t="s">
        <v>36</v>
      </c>
      <c r="B72" t="str">
        <f>INDEX('DevMecca SS PCI Export'!$B:$B,MATCH('MTC Regional PCIs 2022-2025'!$A72,'DevMecca SS PCI Export'!$A:$A,0))</f>
        <v>Contra Costa County</v>
      </c>
      <c r="C72" s="9">
        <f>INDEX('SS PCI PivotTable'!$B:$B,MATCH('MTC Regional PCIs 2022-2025'!$A72,'SS PCI PivotTable'!$A:$A,0))</f>
        <v>73</v>
      </c>
      <c r="D72" s="9">
        <f>INDEX('SS PCI PivotTable'!$C:$C,MATCH('MTC Regional PCIs 2022-2025'!$A72,'SS PCI PivotTable'!$A:$A,0))</f>
        <v>71</v>
      </c>
      <c r="E72" s="9">
        <f>INDEX('SS PCI PivotTable'!$D:$D,MATCH('MTC Regional PCIs 2022-2025'!$A72,'SS PCI PivotTable'!$A:$A,0))</f>
        <v>71</v>
      </c>
      <c r="F72" s="9">
        <f>INDEX('SS PCI PivotTable'!$E:$E,MATCH('MTC Regional PCIs 2022-2025'!$A72,'SS PCI PivotTable'!$A:$A,0))</f>
        <v>69</v>
      </c>
      <c r="G72" s="12">
        <f t="shared" si="4"/>
        <v>71.666666666666671</v>
      </c>
      <c r="H72" s="12">
        <f t="shared" si="5"/>
        <v>70.333333333333329</v>
      </c>
      <c r="I72" s="9" t="str">
        <f t="shared" si="6"/>
        <v>TRUE</v>
      </c>
      <c r="J72" s="12">
        <f t="shared" si="7"/>
        <v>2.6666666666666714</v>
      </c>
    </row>
    <row r="73" spans="1:10" x14ac:dyDescent="0.25">
      <c r="A73" t="s">
        <v>17</v>
      </c>
      <c r="B73" t="str">
        <f>INDEX('DevMecca SS PCI Export'!$B:$B,MATCH('MTC Regional PCIs 2022-2025'!$A73,'DevMecca SS PCI Export'!$A:$A,0))</f>
        <v>Alameda County</v>
      </c>
      <c r="C73" s="9">
        <f>INDEX('SS PCI PivotTable'!$B:$B,MATCH('MTC Regional PCIs 2022-2025'!$A73,'SS PCI PivotTable'!$A:$A,0))</f>
        <v>77</v>
      </c>
      <c r="D73" s="9">
        <f>INDEX('SS PCI PivotTable'!$C:$C,MATCH('MTC Regional PCIs 2022-2025'!$A73,'SS PCI PivotTable'!$A:$A,0))</f>
        <v>76</v>
      </c>
      <c r="E73" s="9">
        <f>INDEX('SS PCI PivotTable'!$D:$D,MATCH('MTC Regional PCIs 2022-2025'!$A73,'SS PCI PivotTable'!$A:$A,0))</f>
        <v>76</v>
      </c>
      <c r="F73" s="9">
        <f>INDEX('SS PCI PivotTable'!$E:$E,MATCH('MTC Regional PCIs 2022-2025'!$A73,'SS PCI PivotTable'!$A:$A,0))</f>
        <v>75</v>
      </c>
      <c r="G73" s="12">
        <f t="shared" si="4"/>
        <v>76.333333333333329</v>
      </c>
      <c r="H73" s="12">
        <f t="shared" si="5"/>
        <v>75.666666666666671</v>
      </c>
      <c r="I73" s="9" t="str">
        <f t="shared" si="6"/>
        <v>TRUE</v>
      </c>
      <c r="J73" s="12">
        <f t="shared" si="7"/>
        <v>1.3333333333333286</v>
      </c>
    </row>
    <row r="74" spans="1:10" x14ac:dyDescent="0.25">
      <c r="A74" t="s">
        <v>77</v>
      </c>
      <c r="B74" t="str">
        <f>INDEX('DevMecca SS PCI Export'!$B:$B,MATCH('MTC Regional PCIs 2022-2025'!$A74,'DevMecca SS PCI Export'!$A:$A,0))</f>
        <v>San Mateo County</v>
      </c>
      <c r="C74" s="9">
        <f>INDEX('SS PCI PivotTable'!$B:$B,MATCH('MTC Regional PCIs 2022-2025'!$A74,'SS PCI PivotTable'!$A:$A,0))</f>
        <v>77</v>
      </c>
      <c r="D74" s="9">
        <f>INDEX('SS PCI PivotTable'!$C:$C,MATCH('MTC Regional PCIs 2022-2025'!$A74,'SS PCI PivotTable'!$A:$A,0))</f>
        <v>76</v>
      </c>
      <c r="E74" s="9">
        <f>INDEX('SS PCI PivotTable'!$D:$D,MATCH('MTC Regional PCIs 2022-2025'!$A74,'SS PCI PivotTable'!$A:$A,0))</f>
        <v>75</v>
      </c>
      <c r="F74" s="9">
        <f>INDEX('SS PCI PivotTable'!$E:$E,MATCH('MTC Regional PCIs 2022-2025'!$A74,'SS PCI PivotTable'!$A:$A,0))</f>
        <v>74</v>
      </c>
      <c r="G74" s="12">
        <f t="shared" si="4"/>
        <v>76</v>
      </c>
      <c r="H74" s="12">
        <f t="shared" si="5"/>
        <v>75</v>
      </c>
      <c r="I74" s="9" t="str">
        <f t="shared" si="6"/>
        <v>TRUE</v>
      </c>
      <c r="J74" s="12">
        <f t="shared" si="7"/>
        <v>2</v>
      </c>
    </row>
    <row r="75" spans="1:10" x14ac:dyDescent="0.25">
      <c r="A75" t="s">
        <v>78</v>
      </c>
      <c r="B75" t="str">
        <f>INDEX('DevMecca SS PCI Export'!$B:$B,MATCH('MTC Regional PCIs 2022-2025'!$A75,'DevMecca SS PCI Export'!$A:$A,0))</f>
        <v>San Mateo County</v>
      </c>
      <c r="C75" s="9">
        <f>INDEX('SS PCI PivotTable'!$B:$B,MATCH('MTC Regional PCIs 2022-2025'!$A75,'SS PCI PivotTable'!$A:$A,0))</f>
        <v>69</v>
      </c>
      <c r="D75" s="9">
        <f>INDEX('SS PCI PivotTable'!$C:$C,MATCH('MTC Regional PCIs 2022-2025'!$A75,'SS PCI PivotTable'!$A:$A,0))</f>
        <v>68</v>
      </c>
      <c r="E75" s="9">
        <f>INDEX('SS PCI PivotTable'!$D:$D,MATCH('MTC Regional PCIs 2022-2025'!$A75,'SS PCI PivotTable'!$A:$A,0))</f>
        <v>68</v>
      </c>
      <c r="F75" s="9">
        <f>INDEX('SS PCI PivotTable'!$E:$E,MATCH('MTC Regional PCIs 2022-2025'!$A75,'SS PCI PivotTable'!$A:$A,0))</f>
        <v>67</v>
      </c>
      <c r="G75" s="12">
        <f t="shared" si="4"/>
        <v>68.333333333333329</v>
      </c>
      <c r="H75" s="12">
        <f t="shared" si="5"/>
        <v>67.666666666666671</v>
      </c>
      <c r="I75" s="9" t="str">
        <f t="shared" si="6"/>
        <v>TRUE</v>
      </c>
      <c r="J75" s="12">
        <f t="shared" si="7"/>
        <v>1.3333333333333286</v>
      </c>
    </row>
    <row r="76" spans="1:10" x14ac:dyDescent="0.25">
      <c r="A76" t="s">
        <v>37</v>
      </c>
      <c r="B76" t="str">
        <f>INDEX('DevMecca SS PCI Export'!$B:$B,MATCH('MTC Regional PCIs 2022-2025'!$A76,'DevMecca SS PCI Export'!$A:$A,0))</f>
        <v>Contra Costa County</v>
      </c>
      <c r="C76" s="9">
        <f>INDEX('SS PCI PivotTable'!$B:$B,MATCH('MTC Regional PCIs 2022-2025'!$A76,'SS PCI PivotTable'!$A:$A,0))</f>
        <v>57</v>
      </c>
      <c r="D76" s="9">
        <f>INDEX('SS PCI PivotTable'!$C:$C,MATCH('MTC Regional PCIs 2022-2025'!$A76,'SS PCI PivotTable'!$A:$A,0))</f>
        <v>61</v>
      </c>
      <c r="E76" s="9">
        <f>INDEX('SS PCI PivotTable'!$D:$D,MATCH('MTC Regional PCIs 2022-2025'!$A76,'SS PCI PivotTable'!$A:$A,0))</f>
        <v>60</v>
      </c>
      <c r="F76" s="9">
        <f>INDEX('SS PCI PivotTable'!$E:$E,MATCH('MTC Regional PCIs 2022-2025'!$A76,'SS PCI PivotTable'!$A:$A,0))</f>
        <v>59</v>
      </c>
      <c r="G76" s="12">
        <f t="shared" si="4"/>
        <v>59.333333333333336</v>
      </c>
      <c r="H76" s="12">
        <f t="shared" si="5"/>
        <v>60</v>
      </c>
      <c r="I76" s="9" t="str">
        <f t="shared" si="6"/>
        <v>TRUE</v>
      </c>
      <c r="J76" s="12">
        <f t="shared" si="7"/>
        <v>0.3333333333333357</v>
      </c>
    </row>
    <row r="77" spans="1:10" x14ac:dyDescent="0.25">
      <c r="A77" t="s">
        <v>106</v>
      </c>
      <c r="B77" t="str">
        <f>INDEX('DevMecca SS PCI Export'!$B:$B,MATCH('MTC Regional PCIs 2022-2025'!$A77,'DevMecca SS PCI Export'!$A:$A,0))</f>
        <v>Solano County</v>
      </c>
      <c r="C77" s="9">
        <f>INDEX('SS PCI PivotTable'!$B:$B,MATCH('MTC Regional PCIs 2022-2025'!$A77,'SS PCI PivotTable'!$A:$A,0))</f>
        <v>61</v>
      </c>
      <c r="D77" s="9">
        <f>INDEX('SS PCI PivotTable'!$C:$C,MATCH('MTC Regional PCIs 2022-2025'!$A77,'SS PCI PivotTable'!$A:$A,0))</f>
        <v>59</v>
      </c>
      <c r="E77" s="9">
        <f>INDEX('SS PCI PivotTable'!$D:$D,MATCH('MTC Regional PCIs 2022-2025'!$A77,'SS PCI PivotTable'!$A:$A,0))</f>
        <v>59</v>
      </c>
      <c r="F77" s="9">
        <f>INDEX('SS PCI PivotTable'!$E:$E,MATCH('MTC Regional PCIs 2022-2025'!$A77,'SS PCI PivotTable'!$A:$A,0))</f>
        <v>57</v>
      </c>
      <c r="G77" s="12">
        <f t="shared" si="4"/>
        <v>59.666666666666664</v>
      </c>
      <c r="H77" s="12">
        <f t="shared" si="5"/>
        <v>58.333333333333336</v>
      </c>
      <c r="I77" s="9" t="str">
        <f t="shared" si="6"/>
        <v>TRUE</v>
      </c>
      <c r="J77" s="12">
        <f t="shared" si="7"/>
        <v>2.6666666666666643</v>
      </c>
    </row>
    <row r="78" spans="1:10" x14ac:dyDescent="0.25">
      <c r="A78" t="s">
        <v>116</v>
      </c>
      <c r="B78" t="str">
        <f>INDEX('DevMecca SS PCI Export'!$B:$B,MATCH('MTC Regional PCIs 2022-2025'!$A78,'DevMecca SS PCI Export'!$A:$A,0))</f>
        <v>Sonoma County</v>
      </c>
      <c r="C78" s="9">
        <f>INDEX('SS PCI PivotTable'!$B:$B,MATCH('MTC Regional PCIs 2022-2025'!$A78,'SS PCI PivotTable'!$A:$A,0))</f>
        <v>66</v>
      </c>
      <c r="D78" s="9">
        <f>INDEX('SS PCI PivotTable'!$C:$C,MATCH('MTC Regional PCIs 2022-2025'!$A78,'SS PCI PivotTable'!$A:$A,0))</f>
        <v>66</v>
      </c>
      <c r="E78" s="9">
        <f>INDEX('SS PCI PivotTable'!$D:$D,MATCH('MTC Regional PCIs 2022-2025'!$A78,'SS PCI PivotTable'!$A:$A,0))</f>
        <v>64</v>
      </c>
      <c r="F78" s="9">
        <f>INDEX('SS PCI PivotTable'!$E:$E,MATCH('MTC Regional PCIs 2022-2025'!$A78,'SS PCI PivotTable'!$A:$A,0))</f>
        <v>63</v>
      </c>
      <c r="G78" s="12">
        <f t="shared" si="4"/>
        <v>65.333333333333329</v>
      </c>
      <c r="H78" s="12">
        <f t="shared" si="5"/>
        <v>64.333333333333329</v>
      </c>
      <c r="I78" s="9" t="str">
        <f t="shared" si="6"/>
        <v>TRUE</v>
      </c>
      <c r="J78" s="12">
        <f t="shared" si="7"/>
        <v>2.3333333333333286</v>
      </c>
    </row>
    <row r="79" spans="1:10" x14ac:dyDescent="0.25">
      <c r="A79" t="s">
        <v>49</v>
      </c>
      <c r="B79" t="str">
        <f>INDEX('DevMecca SS PCI Export'!$B:$B,MATCH('MTC Regional PCIs 2022-2025'!$A79,'DevMecca SS PCI Export'!$A:$A,0))</f>
        <v>Marin County</v>
      </c>
      <c r="C79" s="9">
        <f>INDEX('SS PCI PivotTable'!$B:$B,MATCH('MTC Regional PCIs 2022-2025'!$A79,'SS PCI PivotTable'!$A:$A,0))</f>
        <v>77</v>
      </c>
      <c r="D79" s="9">
        <f>INDEX('SS PCI PivotTable'!$C:$C,MATCH('MTC Regional PCIs 2022-2025'!$A79,'SS PCI PivotTable'!$A:$A,0))</f>
        <v>75</v>
      </c>
      <c r="E79" s="9">
        <f>INDEX('SS PCI PivotTable'!$D:$D,MATCH('MTC Regional PCIs 2022-2025'!$A79,'SS PCI PivotTable'!$A:$A,0))</f>
        <v>73</v>
      </c>
      <c r="F79" s="9">
        <f>INDEX('SS PCI PivotTable'!$E:$E,MATCH('MTC Regional PCIs 2022-2025'!$A79,'SS PCI PivotTable'!$A:$A,0))</f>
        <v>72</v>
      </c>
      <c r="G79" s="12">
        <f t="shared" ref="G79:G110" si="8">AVERAGE($C79:$E79)</f>
        <v>75</v>
      </c>
      <c r="H79" s="12">
        <f t="shared" si="5"/>
        <v>73.333333333333329</v>
      </c>
      <c r="I79" s="9" t="str">
        <f t="shared" si="6"/>
        <v>TRUE</v>
      </c>
      <c r="J79" s="12">
        <f t="shared" si="7"/>
        <v>3</v>
      </c>
    </row>
    <row r="80" spans="1:10" x14ac:dyDescent="0.25">
      <c r="A80" t="s">
        <v>50</v>
      </c>
      <c r="B80" t="str">
        <f>INDEX('DevMecca SS PCI Export'!$B:$B,MATCH('MTC Regional PCIs 2022-2025'!$A80,'DevMecca SS PCI Export'!$A:$A,0))</f>
        <v>Marin County</v>
      </c>
      <c r="C80" s="9">
        <f>INDEX('SS PCI PivotTable'!$B:$B,MATCH('MTC Regional PCIs 2022-2025'!$A80,'SS PCI PivotTable'!$A:$A,0))</f>
        <v>70</v>
      </c>
      <c r="D80" s="9">
        <f>INDEX('SS PCI PivotTable'!$C:$C,MATCH('MTC Regional PCIs 2022-2025'!$A80,'SS PCI PivotTable'!$A:$A,0))</f>
        <v>72</v>
      </c>
      <c r="E80" s="9">
        <f>INDEX('SS PCI PivotTable'!$D:$D,MATCH('MTC Regional PCIs 2022-2025'!$A80,'SS PCI PivotTable'!$A:$A,0))</f>
        <v>74</v>
      </c>
      <c r="F80" s="9">
        <f>INDEX('SS PCI PivotTable'!$E:$E,MATCH('MTC Regional PCIs 2022-2025'!$A80,'SS PCI PivotTable'!$A:$A,0))</f>
        <v>73</v>
      </c>
      <c r="G80" s="12">
        <f t="shared" si="8"/>
        <v>72</v>
      </c>
      <c r="H80" s="12">
        <f t="shared" si="5"/>
        <v>73</v>
      </c>
      <c r="I80" s="9" t="str">
        <f t="shared" si="6"/>
        <v>FALSE</v>
      </c>
      <c r="J80" s="12">
        <f t="shared" si="7"/>
        <v>-1</v>
      </c>
    </row>
    <row r="81" spans="1:10" x14ac:dyDescent="0.25">
      <c r="A81" t="s">
        <v>79</v>
      </c>
      <c r="B81" t="str">
        <f>INDEX('DevMecca SS PCI Export'!$B:$B,MATCH('MTC Regional PCIs 2022-2025'!$A81,'DevMecca SS PCI Export'!$A:$A,0))</f>
        <v>San Mateo County</v>
      </c>
      <c r="C81" s="9">
        <f>INDEX('SS PCI PivotTable'!$B:$B,MATCH('MTC Regional PCIs 2022-2025'!$A81,'SS PCI PivotTable'!$A:$A,0))</f>
        <v>61</v>
      </c>
      <c r="D81" s="9">
        <f>INDEX('SS PCI PivotTable'!$C:$C,MATCH('MTC Regional PCIs 2022-2025'!$A81,'SS PCI PivotTable'!$A:$A,0))</f>
        <v>63</v>
      </c>
      <c r="E81" s="9">
        <f>INDEX('SS PCI PivotTable'!$D:$D,MATCH('MTC Regional PCIs 2022-2025'!$A81,'SS PCI PivotTable'!$A:$A,0))</f>
        <v>63</v>
      </c>
      <c r="F81" s="9">
        <f>INDEX('SS PCI PivotTable'!$E:$E,MATCH('MTC Regional PCIs 2022-2025'!$A81,'SS PCI PivotTable'!$A:$A,0))</f>
        <v>65</v>
      </c>
      <c r="G81" s="12">
        <f t="shared" si="8"/>
        <v>62.333333333333336</v>
      </c>
      <c r="H81" s="12">
        <f t="shared" si="5"/>
        <v>63.666666666666664</v>
      </c>
      <c r="I81" s="9" t="str">
        <f t="shared" si="6"/>
        <v>FALSE</v>
      </c>
      <c r="J81" s="12">
        <f t="shared" si="7"/>
        <v>-2.6666666666666643</v>
      </c>
    </row>
    <row r="82" spans="1:10" x14ac:dyDescent="0.25">
      <c r="A82" t="s">
        <v>80</v>
      </c>
      <c r="B82" t="str">
        <f>INDEX('DevMecca SS PCI Export'!$B:$B,MATCH('MTC Regional PCIs 2022-2025'!$A82,'DevMecca SS PCI Export'!$A:$A,0))</f>
        <v>San Mateo County</v>
      </c>
      <c r="C82" s="9">
        <f>INDEX('SS PCI PivotTable'!$B:$B,MATCH('MTC Regional PCIs 2022-2025'!$A82,'SS PCI PivotTable'!$A:$A,0))</f>
        <v>57</v>
      </c>
      <c r="D82" s="9">
        <f>INDEX('SS PCI PivotTable'!$C:$C,MATCH('MTC Regional PCIs 2022-2025'!$A82,'SS PCI PivotTable'!$A:$A,0))</f>
        <v>57</v>
      </c>
      <c r="E82" s="9">
        <f>INDEX('SS PCI PivotTable'!$D:$D,MATCH('MTC Regional PCIs 2022-2025'!$A82,'SS PCI PivotTable'!$A:$A,0))</f>
        <v>56</v>
      </c>
      <c r="F82" s="9">
        <f>INDEX('SS PCI PivotTable'!$E:$E,MATCH('MTC Regional PCIs 2022-2025'!$A82,'SS PCI PivotTable'!$A:$A,0))</f>
        <v>55</v>
      </c>
      <c r="G82" s="12">
        <f t="shared" si="8"/>
        <v>56.666666666666664</v>
      </c>
      <c r="H82" s="12">
        <f t="shared" si="5"/>
        <v>56</v>
      </c>
      <c r="I82" s="9" t="str">
        <f t="shared" si="6"/>
        <v>TRUE</v>
      </c>
      <c r="J82" s="12">
        <f t="shared" si="7"/>
        <v>1.6666666666666643</v>
      </c>
    </row>
    <row r="83" spans="1:10" x14ac:dyDescent="0.25">
      <c r="A83" t="s">
        <v>61</v>
      </c>
      <c r="B83" t="str">
        <f>INDEX('DevMecca SS PCI Export'!$B:$B,MATCH('MTC Regional PCIs 2022-2025'!$A83,'DevMecca SS PCI Export'!$A:$A,0))</f>
        <v>San Francisco County</v>
      </c>
      <c r="C83" s="9">
        <f>INDEX('SS PCI PivotTable'!$B:$B,MATCH('MTC Regional PCIs 2022-2025'!$A83,'SS PCI PivotTable'!$A:$A,0))</f>
        <v>74</v>
      </c>
      <c r="D83" s="9">
        <f>INDEX('SS PCI PivotTable'!$C:$C,MATCH('MTC Regional PCIs 2022-2025'!$A83,'SS PCI PivotTable'!$A:$A,0))</f>
        <v>75</v>
      </c>
      <c r="E83" s="9">
        <f>INDEX('SS PCI PivotTable'!$D:$D,MATCH('MTC Regional PCIs 2022-2025'!$A83,'SS PCI PivotTable'!$A:$A,0))</f>
        <v>75</v>
      </c>
      <c r="F83" s="9">
        <f>INDEX('SS PCI PivotTable'!$E:$E,MATCH('MTC Regional PCIs 2022-2025'!$A83,'SS PCI PivotTable'!$A:$A,0))</f>
        <v>75</v>
      </c>
      <c r="G83" s="12">
        <f t="shared" si="8"/>
        <v>74.666666666666671</v>
      </c>
      <c r="H83" s="12">
        <f t="shared" si="5"/>
        <v>75</v>
      </c>
      <c r="I83" s="9" t="str">
        <f t="shared" si="6"/>
        <v>FALSE</v>
      </c>
      <c r="J83" s="12">
        <f t="shared" si="7"/>
        <v>-0.3333333333333286</v>
      </c>
    </row>
    <row r="84" spans="1:10" x14ac:dyDescent="0.25">
      <c r="A84" t="s">
        <v>97</v>
      </c>
      <c r="B84" t="str">
        <f>INDEX('DevMecca SS PCI Export'!$B:$B,MATCH('MTC Regional PCIs 2022-2025'!$A84,'DevMecca SS PCI Export'!$A:$A,0))</f>
        <v>Santa Clara County</v>
      </c>
      <c r="C84" s="9">
        <f>INDEX('SS PCI PivotTable'!$B:$B,MATCH('MTC Regional PCIs 2022-2025'!$A84,'SS PCI PivotTable'!$A:$A,0))</f>
        <v>71</v>
      </c>
      <c r="D84" s="9">
        <f>INDEX('SS PCI PivotTable'!$C:$C,MATCH('MTC Regional PCIs 2022-2025'!$A84,'SS PCI PivotTable'!$A:$A,0))</f>
        <v>73</v>
      </c>
      <c r="E84" s="9">
        <f>INDEX('SS PCI PivotTable'!$D:$D,MATCH('MTC Regional PCIs 2022-2025'!$A84,'SS PCI PivotTable'!$A:$A,0))</f>
        <v>74</v>
      </c>
      <c r="F84" s="9">
        <f>INDEX('SS PCI PivotTable'!$E:$E,MATCH('MTC Regional PCIs 2022-2025'!$A84,'SS PCI PivotTable'!$A:$A,0))</f>
        <v>71</v>
      </c>
      <c r="G84" s="12">
        <f t="shared" si="8"/>
        <v>72.666666666666671</v>
      </c>
      <c r="H84" s="12">
        <f t="shared" si="5"/>
        <v>72.666666666666671</v>
      </c>
      <c r="I84" s="9" t="str">
        <f t="shared" si="6"/>
        <v>TRUE</v>
      </c>
      <c r="J84" s="12">
        <f t="shared" si="7"/>
        <v>1.6666666666666714</v>
      </c>
    </row>
    <row r="85" spans="1:10" x14ac:dyDescent="0.25">
      <c r="A85" t="s">
        <v>18</v>
      </c>
      <c r="B85" t="str">
        <f>INDEX('DevMecca SS PCI Export'!$B:$B,MATCH('MTC Regional PCIs 2022-2025'!$A85,'DevMecca SS PCI Export'!$A:$A,0))</f>
        <v>Alameda County</v>
      </c>
      <c r="C85" s="9">
        <f>INDEX('SS PCI PivotTable'!$B:$B,MATCH('MTC Regional PCIs 2022-2025'!$A85,'SS PCI PivotTable'!$A:$A,0))</f>
        <v>55</v>
      </c>
      <c r="D85" s="9">
        <f>INDEX('SS PCI PivotTable'!$C:$C,MATCH('MTC Regional PCIs 2022-2025'!$A85,'SS PCI PivotTable'!$A:$A,0))</f>
        <v>58</v>
      </c>
      <c r="E85" s="9">
        <f>INDEX('SS PCI PivotTable'!$D:$D,MATCH('MTC Regional PCIs 2022-2025'!$A85,'SS PCI PivotTable'!$A:$A,0))</f>
        <v>57</v>
      </c>
      <c r="F85" s="9">
        <f>INDEX('SS PCI PivotTable'!$E:$E,MATCH('MTC Regional PCIs 2022-2025'!$A85,'SS PCI PivotTable'!$A:$A,0))</f>
        <v>56</v>
      </c>
      <c r="G85" s="12">
        <f t="shared" si="8"/>
        <v>56.666666666666664</v>
      </c>
      <c r="H85" s="12">
        <f t="shared" si="5"/>
        <v>57</v>
      </c>
      <c r="I85" s="9" t="str">
        <f t="shared" si="6"/>
        <v>TRUE</v>
      </c>
      <c r="J85" s="12">
        <f t="shared" si="7"/>
        <v>0.6666666666666643</v>
      </c>
    </row>
    <row r="86" spans="1:10" x14ac:dyDescent="0.25">
      <c r="A86" t="s">
        <v>81</v>
      </c>
      <c r="B86" t="str">
        <f>INDEX('DevMecca SS PCI Export'!$B:$B,MATCH('MTC Regional PCIs 2022-2025'!$A86,'DevMecca SS PCI Export'!$A:$A,0))</f>
        <v>San Mateo County</v>
      </c>
      <c r="C86" s="9">
        <f>INDEX('SS PCI PivotTable'!$B:$B,MATCH('MTC Regional PCIs 2022-2025'!$A86,'SS PCI PivotTable'!$A:$A,0))</f>
        <v>70</v>
      </c>
      <c r="D86" s="9">
        <f>INDEX('SS PCI PivotTable'!$C:$C,MATCH('MTC Regional PCIs 2022-2025'!$A86,'SS PCI PivotTable'!$A:$A,0))</f>
        <v>73</v>
      </c>
      <c r="E86" s="9">
        <f>INDEX('SS PCI PivotTable'!$D:$D,MATCH('MTC Regional PCIs 2022-2025'!$A86,'SS PCI PivotTable'!$A:$A,0))</f>
        <v>72</v>
      </c>
      <c r="F86" s="9">
        <f>INDEX('SS PCI PivotTable'!$E:$E,MATCH('MTC Regional PCIs 2022-2025'!$A86,'SS PCI PivotTable'!$A:$A,0))</f>
        <v>71</v>
      </c>
      <c r="G86" s="12">
        <f t="shared" si="8"/>
        <v>71.666666666666671</v>
      </c>
      <c r="H86" s="12">
        <f t="shared" si="5"/>
        <v>72</v>
      </c>
      <c r="I86" s="9" t="str">
        <f t="shared" si="6"/>
        <v>TRUE</v>
      </c>
      <c r="J86" s="12">
        <f t="shared" si="7"/>
        <v>0.6666666666666714</v>
      </c>
    </row>
    <row r="87" spans="1:10" x14ac:dyDescent="0.25">
      <c r="A87" t="s">
        <v>82</v>
      </c>
      <c r="B87" t="str">
        <f>INDEX('DevMecca SS PCI Export'!$B:$B,MATCH('MTC Regional PCIs 2022-2025'!$A87,'DevMecca SS PCI Export'!$A:$A,0))</f>
        <v>San Mateo County</v>
      </c>
      <c r="C87" s="9">
        <f>INDEX('SS PCI PivotTable'!$B:$B,MATCH('MTC Regional PCIs 2022-2025'!$A87,'SS PCI PivotTable'!$A:$A,0))</f>
        <v>76</v>
      </c>
      <c r="D87" s="9">
        <f>INDEX('SS PCI PivotTable'!$C:$C,MATCH('MTC Regional PCIs 2022-2025'!$A87,'SS PCI PivotTable'!$A:$A,0))</f>
        <v>74</v>
      </c>
      <c r="E87" s="9">
        <f>INDEX('SS PCI PivotTable'!$D:$D,MATCH('MTC Regional PCIs 2022-2025'!$A87,'SS PCI PivotTable'!$A:$A,0))</f>
        <v>73</v>
      </c>
      <c r="F87" s="9">
        <f>INDEX('SS PCI PivotTable'!$E:$E,MATCH('MTC Regional PCIs 2022-2025'!$A87,'SS PCI PivotTable'!$A:$A,0))</f>
        <v>72</v>
      </c>
      <c r="G87" s="12">
        <f t="shared" si="8"/>
        <v>74.333333333333329</v>
      </c>
      <c r="H87" s="12">
        <f t="shared" si="5"/>
        <v>73</v>
      </c>
      <c r="I87" s="9" t="str">
        <f t="shared" si="6"/>
        <v>TRUE</v>
      </c>
      <c r="J87" s="12">
        <f t="shared" si="7"/>
        <v>2.3333333333333286</v>
      </c>
    </row>
    <row r="88" spans="1:10" x14ac:dyDescent="0.25">
      <c r="A88" t="s">
        <v>38</v>
      </c>
      <c r="B88" t="str">
        <f>INDEX('DevMecca SS PCI Export'!$B:$B,MATCH('MTC Regional PCIs 2022-2025'!$A88,'DevMecca SS PCI Export'!$A:$A,0))</f>
        <v>Contra Costa County</v>
      </c>
      <c r="C88" s="9">
        <f>INDEX('SS PCI PivotTable'!$B:$B,MATCH('MTC Regional PCIs 2022-2025'!$A88,'SS PCI PivotTable'!$A:$A,0))</f>
        <v>67</v>
      </c>
      <c r="D88" s="9">
        <f>INDEX('SS PCI PivotTable'!$C:$C,MATCH('MTC Regional PCIs 2022-2025'!$A88,'SS PCI PivotTable'!$A:$A,0))</f>
        <v>65</v>
      </c>
      <c r="E88" s="9">
        <f>INDEX('SS PCI PivotTable'!$D:$D,MATCH('MTC Regional PCIs 2022-2025'!$A88,'SS PCI PivotTable'!$A:$A,0))</f>
        <v>64</v>
      </c>
      <c r="F88" s="9">
        <f>INDEX('SS PCI PivotTable'!$E:$E,MATCH('MTC Regional PCIs 2022-2025'!$A88,'SS PCI PivotTable'!$A:$A,0))</f>
        <v>63</v>
      </c>
      <c r="G88" s="12">
        <f t="shared" si="8"/>
        <v>65.333333333333329</v>
      </c>
      <c r="H88" s="12">
        <f t="shared" si="5"/>
        <v>64</v>
      </c>
      <c r="I88" s="9" t="str">
        <f t="shared" si="6"/>
        <v>TRUE</v>
      </c>
      <c r="J88" s="12">
        <f t="shared" si="7"/>
        <v>2.3333333333333286</v>
      </c>
    </row>
    <row r="89" spans="1:10" x14ac:dyDescent="0.25">
      <c r="A89" t="s">
        <v>51</v>
      </c>
      <c r="B89" t="str">
        <f>INDEX('DevMecca SS PCI Export'!$B:$B,MATCH('MTC Regional PCIs 2022-2025'!$A89,'DevMecca SS PCI Export'!$A:$A,0))</f>
        <v>Marin County</v>
      </c>
      <c r="C89" s="9">
        <f>INDEX('SS PCI PivotTable'!$B:$B,MATCH('MTC Regional PCIs 2022-2025'!$A89,'SS PCI PivotTable'!$A:$A,0))</f>
        <v>62</v>
      </c>
      <c r="D89" s="9">
        <f>INDEX('SS PCI PivotTable'!$C:$C,MATCH('MTC Regional PCIs 2022-2025'!$A89,'SS PCI PivotTable'!$A:$A,0))</f>
        <v>61</v>
      </c>
      <c r="E89" s="9">
        <f>INDEX('SS PCI PivotTable'!$D:$D,MATCH('MTC Regional PCIs 2022-2025'!$A89,'SS PCI PivotTable'!$A:$A,0))</f>
        <v>60</v>
      </c>
      <c r="F89" s="9">
        <f>INDEX('SS PCI PivotTable'!$E:$E,MATCH('MTC Regional PCIs 2022-2025'!$A89,'SS PCI PivotTable'!$A:$A,0))</f>
        <v>59</v>
      </c>
      <c r="G89" s="12">
        <f t="shared" si="8"/>
        <v>61</v>
      </c>
      <c r="H89" s="12">
        <f t="shared" si="5"/>
        <v>60</v>
      </c>
      <c r="I89" s="9" t="str">
        <f t="shared" si="6"/>
        <v>TRUE</v>
      </c>
      <c r="J89" s="12">
        <f t="shared" si="7"/>
        <v>2</v>
      </c>
    </row>
    <row r="90" spans="1:10" x14ac:dyDescent="0.25">
      <c r="A90" t="s">
        <v>39</v>
      </c>
      <c r="B90" t="str">
        <f>INDEX('DevMecca SS PCI Export'!$B:$B,MATCH('MTC Regional PCIs 2022-2025'!$A90,'DevMecca SS PCI Export'!$A:$A,0))</f>
        <v>Contra Costa County</v>
      </c>
      <c r="C90" s="9">
        <f>INDEX('SS PCI PivotTable'!$B:$B,MATCH('MTC Regional PCIs 2022-2025'!$A90,'SS PCI PivotTable'!$A:$A,0))</f>
        <v>78</v>
      </c>
      <c r="D90" s="9">
        <f>INDEX('SS PCI PivotTable'!$C:$C,MATCH('MTC Regional PCIs 2022-2025'!$A90,'SS PCI PivotTable'!$A:$A,0))</f>
        <v>77</v>
      </c>
      <c r="E90" s="9">
        <f>INDEX('SS PCI PivotTable'!$D:$D,MATCH('MTC Regional PCIs 2022-2025'!$A90,'SS PCI PivotTable'!$A:$A,0))</f>
        <v>76</v>
      </c>
      <c r="F90" s="9">
        <f>INDEX('SS PCI PivotTable'!$E:$E,MATCH('MTC Regional PCIs 2022-2025'!$A90,'SS PCI PivotTable'!$A:$A,0))</f>
        <v>75</v>
      </c>
      <c r="G90" s="12">
        <f t="shared" si="8"/>
        <v>77</v>
      </c>
      <c r="H90" s="12">
        <f t="shared" si="5"/>
        <v>76</v>
      </c>
      <c r="I90" s="9" t="str">
        <f t="shared" si="6"/>
        <v>TRUE</v>
      </c>
      <c r="J90" s="12">
        <f t="shared" si="7"/>
        <v>2</v>
      </c>
    </row>
    <row r="91" spans="1:10" x14ac:dyDescent="0.25">
      <c r="A91" t="s">
        <v>98</v>
      </c>
      <c r="B91" t="str">
        <f>INDEX('DevMecca SS PCI Export'!$B:$B,MATCH('MTC Regional PCIs 2022-2025'!$A91,'DevMecca SS PCI Export'!$A:$A,0))</f>
        <v>Santa Clara County</v>
      </c>
      <c r="C91" s="9">
        <f>INDEX('SS PCI PivotTable'!$B:$B,MATCH('MTC Regional PCIs 2022-2025'!$A91,'SS PCI PivotTable'!$A:$A,0))</f>
        <v>73</v>
      </c>
      <c r="D91" s="9">
        <f>INDEX('SS PCI PivotTable'!$C:$C,MATCH('MTC Regional PCIs 2022-2025'!$A91,'SS PCI PivotTable'!$A:$A,0))</f>
        <v>75</v>
      </c>
      <c r="E91" s="9">
        <f>INDEX('SS PCI PivotTable'!$D:$D,MATCH('MTC Regional PCIs 2022-2025'!$A91,'SS PCI PivotTable'!$A:$A,0))</f>
        <v>74</v>
      </c>
      <c r="F91" s="9">
        <f>INDEX('SS PCI PivotTable'!$E:$E,MATCH('MTC Regional PCIs 2022-2025'!$A91,'SS PCI PivotTable'!$A:$A,0))</f>
        <v>73</v>
      </c>
      <c r="G91" s="12">
        <f t="shared" si="8"/>
        <v>74</v>
      </c>
      <c r="H91" s="12">
        <f t="shared" si="5"/>
        <v>74</v>
      </c>
      <c r="I91" s="9" t="str">
        <f t="shared" si="6"/>
        <v>TRUE</v>
      </c>
      <c r="J91" s="12">
        <f t="shared" si="7"/>
        <v>1</v>
      </c>
    </row>
    <row r="92" spans="1:10" x14ac:dyDescent="0.25">
      <c r="A92" t="s">
        <v>99</v>
      </c>
      <c r="B92" t="str">
        <f>INDEX('DevMecca SS PCI Export'!$B:$B,MATCH('MTC Regional PCIs 2022-2025'!$A92,'DevMecca SS PCI Export'!$A:$A,0))</f>
        <v>Santa Clara County</v>
      </c>
      <c r="C92" s="9">
        <f>INDEX('SS PCI PivotTable'!$B:$B,MATCH('MTC Regional PCIs 2022-2025'!$A92,'SS PCI PivotTable'!$A:$A,0))</f>
        <v>66</v>
      </c>
      <c r="D92" s="9">
        <f>INDEX('SS PCI PivotTable'!$C:$C,MATCH('MTC Regional PCIs 2022-2025'!$A92,'SS PCI PivotTable'!$A:$A,0))</f>
        <v>65</v>
      </c>
      <c r="E92" s="9">
        <f>INDEX('SS PCI PivotTable'!$D:$D,MATCH('MTC Regional PCIs 2022-2025'!$A92,'SS PCI PivotTable'!$A:$A,0))</f>
        <v>67</v>
      </c>
      <c r="F92" s="9">
        <f>INDEX('SS PCI PivotTable'!$E:$E,MATCH('MTC Regional PCIs 2022-2025'!$A92,'SS PCI PivotTable'!$A:$A,0))</f>
        <v>71</v>
      </c>
      <c r="G92" s="12">
        <f t="shared" si="8"/>
        <v>66</v>
      </c>
      <c r="H92" s="12">
        <f t="shared" si="5"/>
        <v>67.666666666666671</v>
      </c>
      <c r="I92" s="9" t="str">
        <f t="shared" si="6"/>
        <v>FALSE</v>
      </c>
      <c r="J92" s="12">
        <f t="shared" si="7"/>
        <v>-5</v>
      </c>
    </row>
    <row r="93" spans="1:10" x14ac:dyDescent="0.25">
      <c r="A93" t="s">
        <v>117</v>
      </c>
      <c r="B93" t="str">
        <f>INDEX('DevMecca SS PCI Export'!$B:$B,MATCH('MTC Regional PCIs 2022-2025'!$A93,'DevMecca SS PCI Export'!$A:$A,0))</f>
        <v>Sonoma County</v>
      </c>
      <c r="C93" s="9">
        <f>INDEX('SS PCI PivotTable'!$B:$B,MATCH('MTC Regional PCIs 2022-2025'!$A93,'SS PCI PivotTable'!$A:$A,0))</f>
        <v>61</v>
      </c>
      <c r="D93" s="9">
        <f>INDEX('SS PCI PivotTable'!$C:$C,MATCH('MTC Regional PCIs 2022-2025'!$A93,'SS PCI PivotTable'!$A:$A,0))</f>
        <v>60</v>
      </c>
      <c r="E93" s="9">
        <f>INDEX('SS PCI PivotTable'!$D:$D,MATCH('MTC Regional PCIs 2022-2025'!$A93,'SS PCI PivotTable'!$A:$A,0))</f>
        <v>61</v>
      </c>
      <c r="F93" s="9">
        <f>INDEX('SS PCI PivotTable'!$E:$E,MATCH('MTC Regional PCIs 2022-2025'!$A93,'SS PCI PivotTable'!$A:$A,0))</f>
        <v>62</v>
      </c>
      <c r="G93" s="12">
        <f t="shared" si="8"/>
        <v>60.666666666666664</v>
      </c>
      <c r="H93" s="12">
        <f t="shared" si="5"/>
        <v>61</v>
      </c>
      <c r="I93" s="9" t="str">
        <f t="shared" si="6"/>
        <v>FALSE</v>
      </c>
      <c r="J93" s="12">
        <f t="shared" si="7"/>
        <v>-1.3333333333333357</v>
      </c>
    </row>
    <row r="94" spans="1:10" x14ac:dyDescent="0.25">
      <c r="A94" t="s">
        <v>100</v>
      </c>
      <c r="B94" t="str">
        <f>INDEX('DevMecca SS PCI Export'!$B:$B,MATCH('MTC Regional PCIs 2022-2025'!$A94,'DevMecca SS PCI Export'!$A:$A,0))</f>
        <v>Santa Clara County</v>
      </c>
      <c r="C94" s="9">
        <f>INDEX('SS PCI PivotTable'!$B:$B,MATCH('MTC Regional PCIs 2022-2025'!$A94,'SS PCI PivotTable'!$A:$A,0))</f>
        <v>69</v>
      </c>
      <c r="D94" s="9">
        <f>INDEX('SS PCI PivotTable'!$C:$C,MATCH('MTC Regional PCIs 2022-2025'!$A94,'SS PCI PivotTable'!$A:$A,0))</f>
        <v>67</v>
      </c>
      <c r="E94" s="9">
        <f>INDEX('SS PCI PivotTable'!$D:$D,MATCH('MTC Regional PCIs 2022-2025'!$A94,'SS PCI PivotTable'!$A:$A,0))</f>
        <v>66</v>
      </c>
      <c r="F94" s="9">
        <f>INDEX('SS PCI PivotTable'!$E:$E,MATCH('MTC Regional PCIs 2022-2025'!$A94,'SS PCI PivotTable'!$A:$A,0))</f>
        <v>65</v>
      </c>
      <c r="G94" s="12">
        <f t="shared" si="8"/>
        <v>67.333333333333329</v>
      </c>
      <c r="H94" s="12">
        <f t="shared" si="5"/>
        <v>66</v>
      </c>
      <c r="I94" s="9" t="str">
        <f t="shared" si="6"/>
        <v>TRUE</v>
      </c>
      <c r="J94" s="12">
        <f t="shared" si="7"/>
        <v>2.3333333333333286</v>
      </c>
    </row>
    <row r="95" spans="1:10" x14ac:dyDescent="0.25">
      <c r="A95" t="s">
        <v>52</v>
      </c>
      <c r="B95" t="str">
        <f>INDEX('DevMecca SS PCI Export'!$B:$B,MATCH('MTC Regional PCIs 2022-2025'!$A95,'DevMecca SS PCI Export'!$A:$A,0))</f>
        <v>Marin County</v>
      </c>
      <c r="C95" s="9">
        <f>INDEX('SS PCI PivotTable'!$B:$B,MATCH('MTC Regional PCIs 2022-2025'!$A95,'SS PCI PivotTable'!$A:$A,0))</f>
        <v>59</v>
      </c>
      <c r="D95" s="9">
        <f>INDEX('SS PCI PivotTable'!$C:$C,MATCH('MTC Regional PCIs 2022-2025'!$A95,'SS PCI PivotTable'!$A:$A,0))</f>
        <v>57</v>
      </c>
      <c r="E95" s="9">
        <f>INDEX('SS PCI PivotTable'!$D:$D,MATCH('MTC Regional PCIs 2022-2025'!$A95,'SS PCI PivotTable'!$A:$A,0))</f>
        <v>55</v>
      </c>
      <c r="F95" s="9">
        <f>INDEX('SS PCI PivotTable'!$E:$E,MATCH('MTC Regional PCIs 2022-2025'!$A95,'SS PCI PivotTable'!$A:$A,0))</f>
        <v>53</v>
      </c>
      <c r="G95" s="12">
        <f t="shared" si="8"/>
        <v>57</v>
      </c>
      <c r="H95" s="12">
        <f t="shared" si="5"/>
        <v>55</v>
      </c>
      <c r="I95" s="9" t="str">
        <f t="shared" si="6"/>
        <v>TRUE</v>
      </c>
      <c r="J95" s="12">
        <f t="shared" si="7"/>
        <v>4</v>
      </c>
    </row>
    <row r="96" spans="1:10" x14ac:dyDescent="0.25">
      <c r="A96" t="s">
        <v>118</v>
      </c>
      <c r="B96" t="str">
        <f>INDEX('DevMecca SS PCI Export'!$B:$B,MATCH('MTC Regional PCIs 2022-2025'!$A96,'DevMecca SS PCI Export'!$A:$A,0))</f>
        <v>Sonoma County</v>
      </c>
      <c r="C96" s="9">
        <f>INDEX('SS PCI PivotTable'!$B:$B,MATCH('MTC Regional PCIs 2022-2025'!$A96,'SS PCI PivotTable'!$A:$A,0))</f>
        <v>55</v>
      </c>
      <c r="D96" s="9">
        <f>INDEX('SS PCI PivotTable'!$C:$C,MATCH('MTC Regional PCIs 2022-2025'!$A96,'SS PCI PivotTable'!$A:$A,0))</f>
        <v>52</v>
      </c>
      <c r="E96" s="9">
        <f>INDEX('SS PCI PivotTable'!$D:$D,MATCH('MTC Regional PCIs 2022-2025'!$A96,'SS PCI PivotTable'!$A:$A,0))</f>
        <v>55</v>
      </c>
      <c r="F96" s="9">
        <f>INDEX('SS PCI PivotTable'!$E:$E,MATCH('MTC Regional PCIs 2022-2025'!$A96,'SS PCI PivotTable'!$A:$A,0))</f>
        <v>54</v>
      </c>
      <c r="G96" s="12">
        <f t="shared" si="8"/>
        <v>54</v>
      </c>
      <c r="H96" s="12">
        <f t="shared" si="5"/>
        <v>53.666666666666664</v>
      </c>
      <c r="I96" s="9" t="str">
        <f t="shared" si="6"/>
        <v>FALSE</v>
      </c>
      <c r="J96" s="12">
        <f t="shared" si="7"/>
        <v>0</v>
      </c>
    </row>
    <row r="97" spans="1:10" x14ac:dyDescent="0.25">
      <c r="A97" t="s">
        <v>107</v>
      </c>
      <c r="B97" t="str">
        <f>INDEX('DevMecca SS PCI Export'!$B:$B,MATCH('MTC Regional PCIs 2022-2025'!$A97,'DevMecca SS PCI Export'!$A:$A,0))</f>
        <v>Solano County</v>
      </c>
      <c r="C97" s="9">
        <f>INDEX('SS PCI PivotTable'!$B:$B,MATCH('MTC Regional PCIs 2022-2025'!$A97,'SS PCI PivotTable'!$A:$A,0))</f>
        <v>81</v>
      </c>
      <c r="D97" s="9">
        <f>INDEX('SS PCI PivotTable'!$C:$C,MATCH('MTC Regional PCIs 2022-2025'!$A97,'SS PCI PivotTable'!$A:$A,0))</f>
        <v>82</v>
      </c>
      <c r="E97" s="9">
        <f>INDEX('SS PCI PivotTable'!$D:$D,MATCH('MTC Regional PCIs 2022-2025'!$A97,'SS PCI PivotTable'!$A:$A,0))</f>
        <v>80</v>
      </c>
      <c r="F97" s="9">
        <f>INDEX('SS PCI PivotTable'!$E:$E,MATCH('MTC Regional PCIs 2022-2025'!$A97,'SS PCI PivotTable'!$A:$A,0))</f>
        <v>79</v>
      </c>
      <c r="G97" s="12">
        <f t="shared" si="8"/>
        <v>81</v>
      </c>
      <c r="H97" s="12">
        <f t="shared" si="5"/>
        <v>80.333333333333329</v>
      </c>
      <c r="I97" s="9" t="str">
        <f t="shared" si="6"/>
        <v>TRUE</v>
      </c>
      <c r="J97" s="12">
        <f t="shared" si="7"/>
        <v>2</v>
      </c>
    </row>
    <row r="98" spans="1:10" x14ac:dyDescent="0.25">
      <c r="A98" t="s">
        <v>119</v>
      </c>
      <c r="B98" t="str">
        <f>INDEX('DevMecca SS PCI Export'!$B:$B,MATCH('MTC Regional PCIs 2022-2025'!$A98,'DevMecca SS PCI Export'!$A:$A,0))</f>
        <v>Sonoma County</v>
      </c>
      <c r="C98" s="9">
        <f>INDEX('SS PCI PivotTable'!$B:$B,MATCH('MTC Regional PCIs 2022-2025'!$A98,'SS PCI PivotTable'!$A:$A,0))</f>
        <v>68</v>
      </c>
      <c r="D98" s="9">
        <f>INDEX('SS PCI PivotTable'!$C:$C,MATCH('MTC Regional PCIs 2022-2025'!$A98,'SS PCI PivotTable'!$A:$A,0))</f>
        <v>62</v>
      </c>
      <c r="E98" s="9">
        <f>INDEX('SS PCI PivotTable'!$D:$D,MATCH('MTC Regional PCIs 2022-2025'!$A98,'SS PCI PivotTable'!$A:$A,0))</f>
        <v>60</v>
      </c>
      <c r="F98" s="9">
        <f>INDEX('SS PCI PivotTable'!$E:$E,MATCH('MTC Regional PCIs 2022-2025'!$A98,'SS PCI PivotTable'!$A:$A,0))</f>
        <v>59</v>
      </c>
      <c r="G98" s="12">
        <f t="shared" si="8"/>
        <v>63.333333333333336</v>
      </c>
      <c r="H98" s="12">
        <f t="shared" si="5"/>
        <v>60.333333333333336</v>
      </c>
      <c r="I98" s="9" t="str">
        <f t="shared" si="6"/>
        <v>TRUE</v>
      </c>
      <c r="J98" s="12">
        <f t="shared" si="7"/>
        <v>4.3333333333333357</v>
      </c>
    </row>
    <row r="99" spans="1:10" x14ac:dyDescent="0.25">
      <c r="A99" t="s">
        <v>120</v>
      </c>
      <c r="B99" t="str">
        <f>INDEX('DevMecca SS PCI Export'!$B:$B,MATCH('MTC Regional PCIs 2022-2025'!$A99,'DevMecca SS PCI Export'!$A:$A,0))</f>
        <v>Sonoma County</v>
      </c>
      <c r="C99" s="9">
        <f>INDEX('SS PCI PivotTable'!$B:$B,MATCH('MTC Regional PCIs 2022-2025'!$A99,'SS PCI PivotTable'!$A:$A,0))</f>
        <v>53</v>
      </c>
      <c r="D99" s="9">
        <f>INDEX('SS PCI PivotTable'!$C:$C,MATCH('MTC Regional PCIs 2022-2025'!$A99,'SS PCI PivotTable'!$A:$A,0))</f>
        <v>55</v>
      </c>
      <c r="E99" s="9">
        <f>INDEX('SS PCI PivotTable'!$D:$D,MATCH('MTC Regional PCIs 2022-2025'!$A99,'SS PCI PivotTable'!$A:$A,0))</f>
        <v>54</v>
      </c>
      <c r="F99" s="9">
        <f>INDEX('SS PCI PivotTable'!$E:$E,MATCH('MTC Regional PCIs 2022-2025'!$A99,'SS PCI PivotTable'!$A:$A,0))</f>
        <v>52</v>
      </c>
      <c r="G99" s="12">
        <f t="shared" si="8"/>
        <v>54</v>
      </c>
      <c r="H99" s="12">
        <f t="shared" si="5"/>
        <v>53.666666666666664</v>
      </c>
      <c r="I99" s="9" t="str">
        <f t="shared" si="6"/>
        <v>TRUE</v>
      </c>
      <c r="J99" s="12">
        <f t="shared" si="7"/>
        <v>2</v>
      </c>
    </row>
    <row r="100" spans="1:10" x14ac:dyDescent="0.25">
      <c r="A100" t="s">
        <v>83</v>
      </c>
      <c r="B100" t="str">
        <f>INDEX('DevMecca SS PCI Export'!$B:$B,MATCH('MTC Regional PCIs 2022-2025'!$A100,'DevMecca SS PCI Export'!$A:$A,0))</f>
        <v>San Mateo County</v>
      </c>
      <c r="C100" s="9">
        <f>INDEX('SS PCI PivotTable'!$B:$B,MATCH('MTC Regional PCIs 2022-2025'!$A100,'SS PCI PivotTable'!$A:$A,0))</f>
        <v>76</v>
      </c>
      <c r="D100" s="9">
        <f>INDEX('SS PCI PivotTable'!$C:$C,MATCH('MTC Regional PCIs 2022-2025'!$A100,'SS PCI PivotTable'!$A:$A,0))</f>
        <v>77</v>
      </c>
      <c r="E100" s="9">
        <f>INDEX('SS PCI PivotTable'!$D:$D,MATCH('MTC Regional PCIs 2022-2025'!$A100,'SS PCI PivotTable'!$A:$A,0))</f>
        <v>76</v>
      </c>
      <c r="F100" s="9">
        <f>INDEX('SS PCI PivotTable'!$E:$E,MATCH('MTC Regional PCIs 2022-2025'!$A100,'SS PCI PivotTable'!$A:$A,0))</f>
        <v>75</v>
      </c>
      <c r="G100" s="12">
        <f t="shared" si="8"/>
        <v>76.333333333333329</v>
      </c>
      <c r="H100" s="12">
        <f t="shared" si="5"/>
        <v>76</v>
      </c>
      <c r="I100" s="9" t="str">
        <f t="shared" si="6"/>
        <v>TRUE</v>
      </c>
      <c r="J100" s="12">
        <f t="shared" si="7"/>
        <v>1.3333333333333286</v>
      </c>
    </row>
    <row r="101" spans="1:10" x14ac:dyDescent="0.25">
      <c r="A101" t="s">
        <v>108</v>
      </c>
      <c r="B101" t="str">
        <f>INDEX('DevMecca SS PCI Export'!$B:$B,MATCH('MTC Regional PCIs 2022-2025'!$A101,'DevMecca SS PCI Export'!$A:$A,0))</f>
        <v>Solano County</v>
      </c>
      <c r="C101" s="9">
        <f>INDEX('SS PCI PivotTable'!$B:$B,MATCH('MTC Regional PCIs 2022-2025'!$A101,'SS PCI PivotTable'!$A:$A,0))</f>
        <v>52</v>
      </c>
      <c r="D101" s="9">
        <f>INDEX('SS PCI PivotTable'!$C:$C,MATCH('MTC Regional PCIs 2022-2025'!$A101,'SS PCI PivotTable'!$A:$A,0))</f>
        <v>55</v>
      </c>
      <c r="E101" s="9">
        <f>INDEX('SS PCI PivotTable'!$D:$D,MATCH('MTC Regional PCIs 2022-2025'!$A101,'SS PCI PivotTable'!$A:$A,0))</f>
        <v>52</v>
      </c>
      <c r="F101" s="9">
        <f>INDEX('SS PCI PivotTable'!$E:$E,MATCH('MTC Regional PCIs 2022-2025'!$A101,'SS PCI PivotTable'!$A:$A,0))</f>
        <v>50</v>
      </c>
      <c r="G101" s="12">
        <f>AVERAGE($C101:$E101)</f>
        <v>53</v>
      </c>
      <c r="H101" s="12">
        <f>AVERAGE($D101:$F101)</f>
        <v>52.333333333333336</v>
      </c>
      <c r="I101" s="9" t="str">
        <f t="shared" si="6"/>
        <v>TRUE</v>
      </c>
      <c r="J101" s="12">
        <f t="shared" si="7"/>
        <v>3</v>
      </c>
    </row>
    <row r="102" spans="1:10" x14ac:dyDescent="0.25">
      <c r="A102" t="s">
        <v>101</v>
      </c>
      <c r="B102" t="str">
        <f>INDEX('DevMecca SS PCI Export'!$B:$B,MATCH('MTC Regional PCIs 2022-2025'!$A102,'DevMecca SS PCI Export'!$A:$A,0))</f>
        <v>Santa Clara County</v>
      </c>
      <c r="C102" s="9">
        <f>INDEX('SS PCI PivotTable'!$B:$B,MATCH('MTC Regional PCIs 2022-2025'!$A102,'SS PCI PivotTable'!$A:$A,0))</f>
        <v>77</v>
      </c>
      <c r="D102" s="9">
        <f>INDEX('SS PCI PivotTable'!$C:$C,MATCH('MTC Regional PCIs 2022-2025'!$A102,'SS PCI PivotTable'!$A:$A,0))</f>
        <v>74</v>
      </c>
      <c r="E102" s="9">
        <f>INDEX('SS PCI PivotTable'!$D:$D,MATCH('MTC Regional PCIs 2022-2025'!$A102,'SS PCI PivotTable'!$A:$A,0))</f>
        <v>74</v>
      </c>
      <c r="F102" s="9">
        <f>INDEX('SS PCI PivotTable'!$E:$E,MATCH('MTC Regional PCIs 2022-2025'!$A102,'SS PCI PivotTable'!$A:$A,0))</f>
        <v>74</v>
      </c>
      <c r="G102" s="12">
        <f t="shared" si="8"/>
        <v>75</v>
      </c>
      <c r="H102" s="12">
        <f t="shared" si="5"/>
        <v>74</v>
      </c>
      <c r="I102" s="9" t="str">
        <f t="shared" si="6"/>
        <v>TRUE</v>
      </c>
      <c r="J102" s="12">
        <f t="shared" si="7"/>
        <v>1</v>
      </c>
    </row>
    <row r="103" spans="1:10" x14ac:dyDescent="0.25">
      <c r="A103" t="s">
        <v>53</v>
      </c>
      <c r="B103" t="str">
        <f>INDEX('DevMecca SS PCI Export'!$B:$B,MATCH('MTC Regional PCIs 2022-2025'!$A103,'DevMecca SS PCI Export'!$A:$A,0))</f>
        <v>Marin County</v>
      </c>
      <c r="C103" s="9">
        <f>INDEX('SS PCI PivotTable'!$B:$B,MATCH('MTC Regional PCIs 2022-2025'!$A103,'SS PCI PivotTable'!$A:$A,0))</f>
        <v>71</v>
      </c>
      <c r="D103" s="9">
        <f>INDEX('SS PCI PivotTable'!$C:$C,MATCH('MTC Regional PCIs 2022-2025'!$A103,'SS PCI PivotTable'!$A:$A,0))</f>
        <v>73</v>
      </c>
      <c r="E103" s="9">
        <f>INDEX('SS PCI PivotTable'!$D:$D,MATCH('MTC Regional PCIs 2022-2025'!$A103,'SS PCI PivotTable'!$A:$A,0))</f>
        <v>75</v>
      </c>
      <c r="F103" s="9">
        <f>INDEX('SS PCI PivotTable'!$E:$E,MATCH('MTC Regional PCIs 2022-2025'!$A103,'SS PCI PivotTable'!$A:$A,0))</f>
        <v>74</v>
      </c>
      <c r="G103" s="12">
        <f t="shared" si="8"/>
        <v>73</v>
      </c>
      <c r="H103" s="12">
        <f t="shared" si="5"/>
        <v>74</v>
      </c>
      <c r="I103" s="9" t="str">
        <f t="shared" si="6"/>
        <v>FALSE</v>
      </c>
      <c r="J103" s="12">
        <f t="shared" si="7"/>
        <v>-1</v>
      </c>
    </row>
    <row r="104" spans="1:10" x14ac:dyDescent="0.25">
      <c r="A104" t="s">
        <v>19</v>
      </c>
      <c r="B104" t="str">
        <f>INDEX('DevMecca SS PCI Export'!$B:$B,MATCH('MTC Regional PCIs 2022-2025'!$A104,'DevMecca SS PCI Export'!$A:$A,0))</f>
        <v>Alameda County</v>
      </c>
      <c r="C104" s="9">
        <f>INDEX('SS PCI PivotTable'!$B:$B,MATCH('MTC Regional PCIs 2022-2025'!$A104,'SS PCI PivotTable'!$A:$A,0))</f>
        <v>69</v>
      </c>
      <c r="D104" s="9">
        <f>INDEX('SS PCI PivotTable'!$C:$C,MATCH('MTC Regional PCIs 2022-2025'!$A104,'SS PCI PivotTable'!$A:$A,0))</f>
        <v>67</v>
      </c>
      <c r="E104" s="9">
        <f>INDEX('SS PCI PivotTable'!$D:$D,MATCH('MTC Regional PCIs 2022-2025'!$A104,'SS PCI PivotTable'!$A:$A,0))</f>
        <v>65</v>
      </c>
      <c r="F104" s="9">
        <f>INDEX('SS PCI PivotTable'!$E:$E,MATCH('MTC Regional PCIs 2022-2025'!$A104,'SS PCI PivotTable'!$A:$A,0))</f>
        <v>64</v>
      </c>
      <c r="G104" s="12">
        <f t="shared" si="8"/>
        <v>67</v>
      </c>
      <c r="H104" s="12">
        <f t="shared" si="5"/>
        <v>65.333333333333329</v>
      </c>
      <c r="I104" s="9" t="str">
        <f t="shared" si="6"/>
        <v>TRUE</v>
      </c>
      <c r="J104" s="12">
        <f t="shared" si="7"/>
        <v>3</v>
      </c>
    </row>
    <row r="105" spans="1:10" x14ac:dyDescent="0.25">
      <c r="A105" t="s">
        <v>109</v>
      </c>
      <c r="B105" t="str">
        <f>INDEX('DevMecca SS PCI Export'!$B:$B,MATCH('MTC Regional PCIs 2022-2025'!$A105,'DevMecca SS PCI Export'!$A:$A,0))</f>
        <v>Solano County</v>
      </c>
      <c r="C105" s="9">
        <f>INDEX('SS PCI PivotTable'!$B:$B,MATCH('MTC Regional PCIs 2022-2025'!$A105,'SS PCI PivotTable'!$A:$A,0))</f>
        <v>74</v>
      </c>
      <c r="D105" s="9">
        <f>INDEX('SS PCI PivotTable'!$C:$C,MATCH('MTC Regional PCIs 2022-2025'!$A105,'SS PCI PivotTable'!$A:$A,0))</f>
        <v>72</v>
      </c>
      <c r="E105" s="9">
        <f>INDEX('SS PCI PivotTable'!$D:$D,MATCH('MTC Regional PCIs 2022-2025'!$A105,'SS PCI PivotTable'!$A:$A,0))</f>
        <v>74</v>
      </c>
      <c r="F105" s="9">
        <f>INDEX('SS PCI PivotTable'!$E:$E,MATCH('MTC Regional PCIs 2022-2025'!$A105,'SS PCI PivotTable'!$A:$A,0))</f>
        <v>72</v>
      </c>
      <c r="G105" s="12">
        <f t="shared" si="8"/>
        <v>73.333333333333329</v>
      </c>
      <c r="H105" s="12">
        <f t="shared" si="5"/>
        <v>72.666666666666671</v>
      </c>
      <c r="I105" s="9" t="str">
        <f t="shared" si="6"/>
        <v>TRUE</v>
      </c>
      <c r="J105" s="12">
        <f t="shared" si="7"/>
        <v>1.3333333333333286</v>
      </c>
    </row>
    <row r="106" spans="1:10" x14ac:dyDescent="0.25">
      <c r="A106" t="s">
        <v>110</v>
      </c>
      <c r="B106" t="str">
        <f>INDEX('DevMecca SS PCI Export'!$B:$B,MATCH('MTC Regional PCIs 2022-2025'!$A106,'DevMecca SS PCI Export'!$A:$A,0))</f>
        <v>Solano County</v>
      </c>
      <c r="C106" s="9">
        <f>INDEX('SS PCI PivotTable'!$B:$B,MATCH('MTC Regional PCIs 2022-2025'!$A106,'SS PCI PivotTable'!$A:$A,0))</f>
        <v>46</v>
      </c>
      <c r="D106" s="9">
        <f>INDEX('SS PCI PivotTable'!$C:$C,MATCH('MTC Regional PCIs 2022-2025'!$A106,'SS PCI PivotTable'!$A:$A,0))</f>
        <v>43</v>
      </c>
      <c r="E106" s="9">
        <f>INDEX('SS PCI PivotTable'!$D:$D,MATCH('MTC Regional PCIs 2022-2025'!$A106,'SS PCI PivotTable'!$A:$A,0))</f>
        <v>44</v>
      </c>
      <c r="F106" s="9">
        <f>INDEX('SS PCI PivotTable'!$E:$E,MATCH('MTC Regional PCIs 2022-2025'!$A106,'SS PCI PivotTable'!$A:$A,0))</f>
        <v>42</v>
      </c>
      <c r="G106" s="12">
        <f t="shared" si="8"/>
        <v>44.333333333333336</v>
      </c>
      <c r="H106" s="12">
        <f t="shared" si="5"/>
        <v>43</v>
      </c>
      <c r="I106" s="9" t="str">
        <f t="shared" si="6"/>
        <v>TRUE</v>
      </c>
      <c r="J106" s="12">
        <f t="shared" si="7"/>
        <v>2.3333333333333357</v>
      </c>
    </row>
    <row r="107" spans="1:10" x14ac:dyDescent="0.25">
      <c r="A107" t="s">
        <v>40</v>
      </c>
      <c r="B107" t="str">
        <f>INDEX('DevMecca SS PCI Export'!$B:$B,MATCH('MTC Regional PCIs 2022-2025'!$A107,'DevMecca SS PCI Export'!$A:$A,0))</f>
        <v>Contra Costa County</v>
      </c>
      <c r="C107" s="9">
        <f>INDEX('SS PCI PivotTable'!$B:$B,MATCH('MTC Regional PCIs 2022-2025'!$A107,'SS PCI PivotTable'!$A:$A,0))</f>
        <v>70</v>
      </c>
      <c r="D107" s="9">
        <f>INDEX('SS PCI PivotTable'!$C:$C,MATCH('MTC Regional PCIs 2022-2025'!$A107,'SS PCI PivotTable'!$A:$A,0))</f>
        <v>69</v>
      </c>
      <c r="E107" s="9">
        <f>INDEX('SS PCI PivotTable'!$D:$D,MATCH('MTC Regional PCIs 2022-2025'!$A107,'SS PCI PivotTable'!$A:$A,0))</f>
        <v>71</v>
      </c>
      <c r="F107" s="9">
        <f>INDEX('SS PCI PivotTable'!$E:$E,MATCH('MTC Regional PCIs 2022-2025'!$A107,'SS PCI PivotTable'!$A:$A,0))</f>
        <v>70</v>
      </c>
      <c r="G107" s="12">
        <f t="shared" si="8"/>
        <v>70</v>
      </c>
      <c r="H107" s="12">
        <f t="shared" si="5"/>
        <v>70</v>
      </c>
      <c r="I107" s="9" t="str">
        <f t="shared" si="6"/>
        <v>FALSE</v>
      </c>
      <c r="J107" s="12">
        <f t="shared" si="7"/>
        <v>0</v>
      </c>
    </row>
    <row r="108" spans="1:10" x14ac:dyDescent="0.25">
      <c r="A108" t="s">
        <v>121</v>
      </c>
      <c r="B108" t="str">
        <f>INDEX('DevMecca SS PCI Export'!$B:$B,MATCH('MTC Regional PCIs 2022-2025'!$A108,'DevMecca SS PCI Export'!$A:$A,0))</f>
        <v>Sonoma County</v>
      </c>
      <c r="C108" s="9">
        <f>INDEX('SS PCI PivotTable'!$B:$B,MATCH('MTC Regional PCIs 2022-2025'!$A108,'SS PCI PivotTable'!$A:$A,0))</f>
        <v>73</v>
      </c>
      <c r="D108" s="9">
        <f>INDEX('SS PCI PivotTable'!$C:$C,MATCH('MTC Regional PCIs 2022-2025'!$A108,'SS PCI PivotTable'!$A:$A,0))</f>
        <v>70</v>
      </c>
      <c r="E108" s="9">
        <f>INDEX('SS PCI PivotTable'!$D:$D,MATCH('MTC Regional PCIs 2022-2025'!$A108,'SS PCI PivotTable'!$A:$A,0))</f>
        <v>68</v>
      </c>
      <c r="F108" s="9">
        <f>INDEX('SS PCI PivotTable'!$E:$E,MATCH('MTC Regional PCIs 2022-2025'!$A108,'SS PCI PivotTable'!$A:$A,0))</f>
        <v>67</v>
      </c>
      <c r="G108" s="12">
        <f t="shared" si="8"/>
        <v>70.333333333333329</v>
      </c>
      <c r="H108" s="12">
        <f t="shared" si="5"/>
        <v>68.333333333333329</v>
      </c>
      <c r="I108" s="9" t="str">
        <f t="shared" si="6"/>
        <v>TRUE</v>
      </c>
      <c r="J108" s="12">
        <f t="shared" si="7"/>
        <v>3.3333333333333286</v>
      </c>
    </row>
    <row r="109" spans="1:10" x14ac:dyDescent="0.25">
      <c r="A109" t="s">
        <v>84</v>
      </c>
      <c r="B109" t="str">
        <f>INDEX('DevMecca SS PCI Export'!$B:$B,MATCH('MTC Regional PCIs 2022-2025'!$A109,'DevMecca SS PCI Export'!$A:$A,0))</f>
        <v>San Mateo County</v>
      </c>
      <c r="C109" s="9">
        <f>INDEX('SS PCI PivotTable'!$B:$B,MATCH('MTC Regional PCIs 2022-2025'!$A109,'SS PCI PivotTable'!$A:$A,0))</f>
        <v>74</v>
      </c>
      <c r="D109" s="9">
        <f>INDEX('SS PCI PivotTable'!$C:$C,MATCH('MTC Regional PCIs 2022-2025'!$A109,'SS PCI PivotTable'!$A:$A,0))</f>
        <v>75</v>
      </c>
      <c r="E109" s="9">
        <f>INDEX('SS PCI PivotTable'!$D:$D,MATCH('MTC Regional PCIs 2022-2025'!$A109,'SS PCI PivotTable'!$A:$A,0))</f>
        <v>73</v>
      </c>
      <c r="F109" s="9">
        <f>INDEX('SS PCI PivotTable'!$E:$E,MATCH('MTC Regional PCIs 2022-2025'!$A109,'SS PCI PivotTable'!$A:$A,0))</f>
        <v>72</v>
      </c>
      <c r="G109" s="12">
        <f t="shared" si="8"/>
        <v>74</v>
      </c>
      <c r="H109" s="12">
        <f t="shared" si="5"/>
        <v>73.333333333333329</v>
      </c>
      <c r="I109" s="9" t="str">
        <f t="shared" si="6"/>
        <v>TRUE</v>
      </c>
      <c r="J109" s="12">
        <f t="shared" si="7"/>
        <v>2</v>
      </c>
    </row>
    <row r="110" spans="1:10" x14ac:dyDescent="0.25">
      <c r="A110" t="s">
        <v>60</v>
      </c>
      <c r="B110" t="str">
        <f>INDEX('DevMecca SS PCI Export'!$B:$B,MATCH('MTC Regional PCIs 2022-2025'!$A110,'DevMecca SS PCI Export'!$A:$A,0))</f>
        <v>Napa County</v>
      </c>
      <c r="C110" s="9">
        <f>INDEX('SS PCI PivotTable'!$B:$B,MATCH('MTC Regional PCIs 2022-2025'!$A110,'SS PCI PivotTable'!$A:$A,0))</f>
        <v>79</v>
      </c>
      <c r="D110" s="9">
        <f>INDEX('SS PCI PivotTable'!$C:$C,MATCH('MTC Regional PCIs 2022-2025'!$A110,'SS PCI PivotTable'!$A:$A,0))</f>
        <v>79</v>
      </c>
      <c r="E110" s="9">
        <f>INDEX('SS PCI PivotTable'!$D:$D,MATCH('MTC Regional PCIs 2022-2025'!$A110,'SS PCI PivotTable'!$A:$A,0))</f>
        <v>80</v>
      </c>
      <c r="F110" s="9">
        <f>INDEX('SS PCI PivotTable'!$E:$E,MATCH('MTC Regional PCIs 2022-2025'!$A110,'SS PCI PivotTable'!$A:$A,0))</f>
        <v>79</v>
      </c>
      <c r="G110" s="12">
        <f t="shared" si="8"/>
        <v>79.333333333333329</v>
      </c>
      <c r="H110" s="12">
        <f t="shared" si="5"/>
        <v>79.333333333333329</v>
      </c>
      <c r="I110" s="9" t="str">
        <f t="shared" si="6"/>
        <v>TRUE</v>
      </c>
      <c r="J110" s="12">
        <f t="shared" si="7"/>
        <v>0.3333333333333286</v>
      </c>
    </row>
  </sheetData>
  <autoFilter ref="A1:J110" xr:uid="{ADF73D91-27C0-4357-B3A2-0B0D313BBDDA}"/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09B8-ACFC-4998-87A2-7F097148667A}">
  <dimension ref="A1:M1048576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111"/>
    </sheetView>
  </sheetViews>
  <sheetFormatPr defaultRowHeight="15" x14ac:dyDescent="0.25"/>
  <cols>
    <col min="1" max="1" width="16.42578125" bestFit="1" customWidth="1"/>
    <col min="2" max="2" width="18.5703125" bestFit="1" customWidth="1"/>
    <col min="3" max="3" width="18.5703125" style="9" customWidth="1"/>
    <col min="4" max="6" width="19.42578125" style="9" bestFit="1" customWidth="1"/>
    <col min="7" max="7" width="17.140625" style="9" hidden="1" customWidth="1"/>
    <col min="8" max="8" width="25.7109375" bestFit="1" customWidth="1"/>
    <col min="9" max="9" width="25.42578125" hidden="1" customWidth="1"/>
    <col min="10" max="10" width="31" hidden="1" customWidth="1"/>
    <col min="11" max="11" width="41.42578125" style="9" hidden="1" customWidth="1"/>
    <col min="12" max="12" width="32.28515625" style="26" customWidth="1"/>
    <col min="13" max="13" width="14.42578125" style="38" customWidth="1"/>
  </cols>
  <sheetData>
    <row r="1" spans="1:13" x14ac:dyDescent="0.25">
      <c r="A1" s="4" t="s">
        <v>0</v>
      </c>
      <c r="B1" s="4" t="s">
        <v>1</v>
      </c>
      <c r="C1" s="39" t="s">
        <v>147</v>
      </c>
      <c r="D1" s="8" t="s">
        <v>122</v>
      </c>
      <c r="E1" s="8" t="s">
        <v>123</v>
      </c>
      <c r="F1" s="8" t="s">
        <v>124</v>
      </c>
      <c r="G1" s="10" t="s">
        <v>125</v>
      </c>
      <c r="H1" s="14" t="s">
        <v>132</v>
      </c>
      <c r="I1" s="11" t="s">
        <v>130</v>
      </c>
      <c r="J1" s="13" t="s">
        <v>129</v>
      </c>
      <c r="K1" s="13" t="s">
        <v>133</v>
      </c>
      <c r="L1" s="14" t="s">
        <v>134</v>
      </c>
      <c r="M1" s="15" t="s">
        <v>135</v>
      </c>
    </row>
    <row r="2" spans="1:13" x14ac:dyDescent="0.25">
      <c r="A2" t="s">
        <v>45</v>
      </c>
      <c r="B2" t="s">
        <v>42</v>
      </c>
      <c r="C2" s="44">
        <v>65.8</v>
      </c>
      <c r="D2" s="9">
        <v>85</v>
      </c>
      <c r="E2" s="9">
        <v>89</v>
      </c>
      <c r="F2" s="9">
        <v>87</v>
      </c>
      <c r="G2" s="9">
        <v>86</v>
      </c>
      <c r="H2" s="12">
        <v>87</v>
      </c>
      <c r="I2" s="12">
        <f t="shared" ref="I2:I33" si="0">AVERAGE($E2:$G2)</f>
        <v>87.333333333333329</v>
      </c>
      <c r="J2" s="9" t="str">
        <f t="shared" ref="J2:J33" si="1">IF($H2&gt;$G2,"TRUE","FALSE")</f>
        <v>TRUE</v>
      </c>
      <c r="K2" s="12">
        <f t="shared" ref="K2:K33" si="2">$H2-$G2</f>
        <v>1</v>
      </c>
      <c r="L2" s="37">
        <v>87</v>
      </c>
      <c r="M2" s="38" t="s">
        <v>136</v>
      </c>
    </row>
    <row r="3" spans="1:13" x14ac:dyDescent="0.25">
      <c r="A3" t="s">
        <v>96</v>
      </c>
      <c r="B3" t="s">
        <v>86</v>
      </c>
      <c r="C3" s="44">
        <v>414.5</v>
      </c>
      <c r="D3" s="9">
        <v>83</v>
      </c>
      <c r="E3" s="9">
        <v>84</v>
      </c>
      <c r="F3" s="9">
        <v>83</v>
      </c>
      <c r="G3" s="9">
        <v>82</v>
      </c>
      <c r="H3" s="12">
        <v>83.333333333333329</v>
      </c>
      <c r="I3" s="12">
        <f t="shared" si="0"/>
        <v>83</v>
      </c>
      <c r="J3" s="9" t="str">
        <f t="shared" si="1"/>
        <v>TRUE</v>
      </c>
      <c r="K3" s="12">
        <f t="shared" si="2"/>
        <v>1.3333333333333286</v>
      </c>
      <c r="L3" s="37">
        <v>83.333333333333329</v>
      </c>
      <c r="M3" s="38" t="s">
        <v>136</v>
      </c>
    </row>
    <row r="4" spans="1:13" x14ac:dyDescent="0.25">
      <c r="A4" t="s">
        <v>33</v>
      </c>
      <c r="B4" t="s">
        <v>21</v>
      </c>
      <c r="C4" s="44">
        <v>189.9</v>
      </c>
      <c r="D4" s="9">
        <v>84</v>
      </c>
      <c r="E4" s="9">
        <v>82</v>
      </c>
      <c r="F4" s="9">
        <v>80</v>
      </c>
      <c r="G4" s="9">
        <v>80</v>
      </c>
      <c r="H4" s="12">
        <v>82</v>
      </c>
      <c r="I4" s="12">
        <f t="shared" si="0"/>
        <v>80.666666666666671</v>
      </c>
      <c r="J4" s="9" t="str">
        <f t="shared" si="1"/>
        <v>TRUE</v>
      </c>
      <c r="K4" s="12">
        <f t="shared" si="2"/>
        <v>2</v>
      </c>
      <c r="L4" s="37">
        <v>82</v>
      </c>
      <c r="M4" s="38" t="s">
        <v>136</v>
      </c>
    </row>
    <row r="5" spans="1:13" x14ac:dyDescent="0.25">
      <c r="A5" t="s">
        <v>87</v>
      </c>
      <c r="B5" t="s">
        <v>86</v>
      </c>
      <c r="C5" s="44">
        <v>297.7</v>
      </c>
      <c r="D5" s="9">
        <v>82</v>
      </c>
      <c r="E5" s="9">
        <v>81</v>
      </c>
      <c r="F5" s="9">
        <v>82</v>
      </c>
      <c r="G5" s="9">
        <v>81</v>
      </c>
      <c r="H5" s="12">
        <v>81.666666666666671</v>
      </c>
      <c r="I5" s="12">
        <f t="shared" si="0"/>
        <v>81.333333333333329</v>
      </c>
      <c r="J5" s="9" t="str">
        <f t="shared" si="1"/>
        <v>TRUE</v>
      </c>
      <c r="K5" s="12">
        <f t="shared" si="2"/>
        <v>0.6666666666666714</v>
      </c>
      <c r="L5" s="37">
        <v>81.666666666666671</v>
      </c>
      <c r="M5" s="38" t="s">
        <v>136</v>
      </c>
    </row>
    <row r="6" spans="1:13" x14ac:dyDescent="0.25">
      <c r="A6" t="s">
        <v>73</v>
      </c>
      <c r="B6" t="s">
        <v>64</v>
      </c>
      <c r="C6" s="44">
        <v>166.4</v>
      </c>
      <c r="D6" s="9">
        <v>80</v>
      </c>
      <c r="E6" s="9">
        <v>83</v>
      </c>
      <c r="F6" s="9">
        <v>81</v>
      </c>
      <c r="G6" s="9">
        <v>79</v>
      </c>
      <c r="H6" s="12">
        <v>81.333333333333329</v>
      </c>
      <c r="I6" s="12">
        <f t="shared" si="0"/>
        <v>81</v>
      </c>
      <c r="J6" s="9" t="str">
        <f t="shared" si="1"/>
        <v>TRUE</v>
      </c>
      <c r="K6" s="12">
        <f t="shared" si="2"/>
        <v>2.3333333333333286</v>
      </c>
      <c r="L6" s="37">
        <v>81.333333333333329</v>
      </c>
      <c r="M6" s="38" t="s">
        <v>136</v>
      </c>
    </row>
    <row r="7" spans="1:13" x14ac:dyDescent="0.25">
      <c r="A7" t="s">
        <v>107</v>
      </c>
      <c r="B7" t="s">
        <v>103</v>
      </c>
      <c r="C7" s="44">
        <v>931.6</v>
      </c>
      <c r="D7" s="9">
        <v>81</v>
      </c>
      <c r="E7" s="9">
        <v>82</v>
      </c>
      <c r="F7" s="9">
        <v>80</v>
      </c>
      <c r="G7" s="9">
        <v>79</v>
      </c>
      <c r="H7" s="12">
        <v>81</v>
      </c>
      <c r="I7" s="12">
        <f t="shared" si="0"/>
        <v>80.333333333333329</v>
      </c>
      <c r="J7" s="9" t="str">
        <f t="shared" si="1"/>
        <v>TRUE</v>
      </c>
      <c r="K7" s="12">
        <f t="shared" si="2"/>
        <v>2</v>
      </c>
      <c r="L7" s="37">
        <v>81</v>
      </c>
      <c r="M7" s="38" t="s">
        <v>136</v>
      </c>
    </row>
    <row r="8" spans="1:13" x14ac:dyDescent="0.25">
      <c r="A8" t="s">
        <v>90</v>
      </c>
      <c r="B8" t="s">
        <v>86</v>
      </c>
      <c r="C8" s="44">
        <v>124.4</v>
      </c>
      <c r="D8" s="9">
        <v>79</v>
      </c>
      <c r="E8" s="9">
        <v>79</v>
      </c>
      <c r="F8" s="9">
        <v>81</v>
      </c>
      <c r="G8" s="9">
        <v>80</v>
      </c>
      <c r="H8" s="12">
        <v>79.666666666666671</v>
      </c>
      <c r="I8" s="12">
        <f t="shared" si="0"/>
        <v>80</v>
      </c>
      <c r="J8" s="9" t="str">
        <f t="shared" si="1"/>
        <v>FALSE</v>
      </c>
      <c r="K8" s="12">
        <f t="shared" si="2"/>
        <v>-0.3333333333333286</v>
      </c>
      <c r="L8" s="37">
        <v>79.666666666666671</v>
      </c>
      <c r="M8" s="38" t="s">
        <v>136</v>
      </c>
    </row>
    <row r="9" spans="1:13" x14ac:dyDescent="0.25">
      <c r="A9" t="s">
        <v>60</v>
      </c>
      <c r="B9" t="s">
        <v>55</v>
      </c>
      <c r="C9" s="44">
        <v>16.399999999999999</v>
      </c>
      <c r="D9" s="9">
        <v>79</v>
      </c>
      <c r="E9" s="9">
        <v>79</v>
      </c>
      <c r="F9" s="9">
        <v>80</v>
      </c>
      <c r="G9" s="9">
        <v>79</v>
      </c>
      <c r="H9" s="12">
        <v>79.333333333333329</v>
      </c>
      <c r="I9" s="12">
        <f t="shared" si="0"/>
        <v>79.333333333333329</v>
      </c>
      <c r="J9" s="9" t="str">
        <f t="shared" si="1"/>
        <v>TRUE</v>
      </c>
      <c r="K9" s="12">
        <f t="shared" si="2"/>
        <v>0.3333333333333286</v>
      </c>
      <c r="L9" s="37">
        <v>79.333333333333329</v>
      </c>
      <c r="M9" s="38" t="s">
        <v>137</v>
      </c>
    </row>
    <row r="10" spans="1:13" x14ac:dyDescent="0.25">
      <c r="A10" t="s">
        <v>69</v>
      </c>
      <c r="B10" t="s">
        <v>64</v>
      </c>
      <c r="C10" s="44">
        <v>256.8</v>
      </c>
      <c r="D10" s="9">
        <v>79</v>
      </c>
      <c r="E10" s="9">
        <v>79</v>
      </c>
      <c r="F10" s="9">
        <v>77</v>
      </c>
      <c r="G10" s="9">
        <v>76</v>
      </c>
      <c r="H10" s="12">
        <v>78.333333333333329</v>
      </c>
      <c r="I10" s="12">
        <f t="shared" si="0"/>
        <v>77.333333333333329</v>
      </c>
      <c r="J10" s="9" t="str">
        <f t="shared" si="1"/>
        <v>TRUE</v>
      </c>
      <c r="K10" s="12">
        <f t="shared" si="2"/>
        <v>2.3333333333333286</v>
      </c>
      <c r="L10" s="37">
        <v>78.333333333333329</v>
      </c>
      <c r="M10" s="38" t="s">
        <v>137</v>
      </c>
    </row>
    <row r="11" spans="1:13" x14ac:dyDescent="0.25">
      <c r="A11" t="s">
        <v>10</v>
      </c>
      <c r="B11" t="s">
        <v>5</v>
      </c>
      <c r="C11" s="44">
        <v>47.4</v>
      </c>
      <c r="D11" s="9">
        <v>81</v>
      </c>
      <c r="E11" s="9">
        <v>79</v>
      </c>
      <c r="F11" s="9">
        <v>75</v>
      </c>
      <c r="G11" s="9">
        <v>74</v>
      </c>
      <c r="H11" s="12">
        <v>78.333333333333329</v>
      </c>
      <c r="I11" s="12">
        <f t="shared" si="0"/>
        <v>76</v>
      </c>
      <c r="J11" s="9" t="str">
        <f t="shared" si="1"/>
        <v>TRUE</v>
      </c>
      <c r="K11" s="12">
        <f t="shared" si="2"/>
        <v>4.3333333333333286</v>
      </c>
      <c r="L11" s="37">
        <v>78.333333333333329</v>
      </c>
      <c r="M11" s="38" t="s">
        <v>137</v>
      </c>
    </row>
    <row r="12" spans="1:13" x14ac:dyDescent="0.25">
      <c r="A12" t="s">
        <v>68</v>
      </c>
      <c r="B12" t="s">
        <v>64</v>
      </c>
      <c r="C12" s="44">
        <v>26.9</v>
      </c>
      <c r="D12" s="9">
        <v>76</v>
      </c>
      <c r="E12" s="9">
        <v>74</v>
      </c>
      <c r="F12" s="9">
        <v>84</v>
      </c>
      <c r="G12" s="9">
        <v>83</v>
      </c>
      <c r="H12" s="12">
        <v>78</v>
      </c>
      <c r="I12" s="12">
        <f t="shared" si="0"/>
        <v>80.333333333333329</v>
      </c>
      <c r="J12" s="9" t="str">
        <f t="shared" si="1"/>
        <v>FALSE</v>
      </c>
      <c r="K12" s="12">
        <f t="shared" si="2"/>
        <v>-5</v>
      </c>
      <c r="L12" s="37">
        <v>78</v>
      </c>
      <c r="M12" s="38" t="s">
        <v>137</v>
      </c>
    </row>
    <row r="13" spans="1:13" x14ac:dyDescent="0.25">
      <c r="A13" t="s">
        <v>26</v>
      </c>
      <c r="B13" t="s">
        <v>21</v>
      </c>
      <c r="C13" s="44">
        <v>324.39999999999998</v>
      </c>
      <c r="D13" s="9">
        <v>77</v>
      </c>
      <c r="E13" s="9">
        <v>78</v>
      </c>
      <c r="F13" s="9">
        <v>79</v>
      </c>
      <c r="G13" s="9">
        <v>78</v>
      </c>
      <c r="H13" s="12">
        <v>78</v>
      </c>
      <c r="I13" s="12">
        <f t="shared" si="0"/>
        <v>78.333333333333329</v>
      </c>
      <c r="J13" s="9" t="str">
        <f t="shared" si="1"/>
        <v>FALSE</v>
      </c>
      <c r="K13" s="12">
        <f t="shared" si="2"/>
        <v>0</v>
      </c>
      <c r="L13" s="37">
        <v>78</v>
      </c>
      <c r="M13" s="38" t="s">
        <v>137</v>
      </c>
    </row>
    <row r="14" spans="1:13" x14ac:dyDescent="0.25">
      <c r="A14" t="s">
        <v>22</v>
      </c>
      <c r="B14" t="s">
        <v>21</v>
      </c>
      <c r="C14" s="44">
        <v>425.9</v>
      </c>
      <c r="D14" s="9">
        <v>79</v>
      </c>
      <c r="E14" s="9">
        <v>78</v>
      </c>
      <c r="F14" s="9">
        <v>76</v>
      </c>
      <c r="G14" s="9">
        <v>75</v>
      </c>
      <c r="H14" s="12">
        <v>77.666666666666671</v>
      </c>
      <c r="I14" s="12">
        <f t="shared" si="0"/>
        <v>76.333333333333329</v>
      </c>
      <c r="J14" s="9" t="str">
        <f t="shared" si="1"/>
        <v>TRUE</v>
      </c>
      <c r="K14" s="12">
        <f t="shared" si="2"/>
        <v>2.6666666666666714</v>
      </c>
      <c r="L14" s="37">
        <v>77.666666666666671</v>
      </c>
      <c r="M14" s="38" t="s">
        <v>137</v>
      </c>
    </row>
    <row r="15" spans="1:13" x14ac:dyDescent="0.25">
      <c r="A15" t="s">
        <v>9</v>
      </c>
      <c r="B15" t="s">
        <v>5</v>
      </c>
      <c r="C15" s="44">
        <v>349.7</v>
      </c>
      <c r="D15" s="9">
        <v>78</v>
      </c>
      <c r="E15" s="9">
        <v>78</v>
      </c>
      <c r="F15" s="9">
        <v>77</v>
      </c>
      <c r="G15" s="9">
        <v>77</v>
      </c>
      <c r="H15" s="12">
        <v>77.666666666666671</v>
      </c>
      <c r="I15" s="12">
        <f t="shared" si="0"/>
        <v>77.333333333333329</v>
      </c>
      <c r="J15" s="9" t="str">
        <f t="shared" si="1"/>
        <v>TRUE</v>
      </c>
      <c r="K15" s="12">
        <f t="shared" si="2"/>
        <v>0.6666666666666714</v>
      </c>
      <c r="L15" s="37">
        <v>77.666666666666671</v>
      </c>
      <c r="M15" s="38" t="s">
        <v>137</v>
      </c>
    </row>
    <row r="16" spans="1:13" x14ac:dyDescent="0.25">
      <c r="A16" t="s">
        <v>71</v>
      </c>
      <c r="B16" t="s">
        <v>64</v>
      </c>
      <c r="C16" s="44">
        <v>117.9</v>
      </c>
      <c r="D16" s="9">
        <v>77</v>
      </c>
      <c r="E16" s="9">
        <v>78</v>
      </c>
      <c r="F16" s="9">
        <v>77</v>
      </c>
      <c r="G16" s="9">
        <v>76</v>
      </c>
      <c r="H16" s="12">
        <v>77.333333333333329</v>
      </c>
      <c r="I16" s="12">
        <f t="shared" si="0"/>
        <v>77</v>
      </c>
      <c r="J16" s="9" t="str">
        <f t="shared" si="1"/>
        <v>TRUE</v>
      </c>
      <c r="K16" s="12">
        <f t="shared" si="2"/>
        <v>1.3333333333333286</v>
      </c>
      <c r="L16" s="37">
        <v>77.333333333333329</v>
      </c>
      <c r="M16" s="38" t="s">
        <v>137</v>
      </c>
    </row>
    <row r="17" spans="1:13" x14ac:dyDescent="0.25">
      <c r="A17" t="s">
        <v>39</v>
      </c>
      <c r="B17" t="s">
        <v>21</v>
      </c>
      <c r="C17" s="44">
        <v>509.4</v>
      </c>
      <c r="D17" s="9">
        <v>78</v>
      </c>
      <c r="E17" s="9">
        <v>77</v>
      </c>
      <c r="F17" s="9">
        <v>76</v>
      </c>
      <c r="G17" s="9">
        <v>75</v>
      </c>
      <c r="H17" s="12">
        <v>77</v>
      </c>
      <c r="I17" s="12">
        <f t="shared" si="0"/>
        <v>76</v>
      </c>
      <c r="J17" s="9" t="str">
        <f t="shared" si="1"/>
        <v>TRUE</v>
      </c>
      <c r="K17" s="12">
        <f t="shared" si="2"/>
        <v>2</v>
      </c>
      <c r="L17" s="37">
        <v>77</v>
      </c>
      <c r="M17" s="38" t="s">
        <v>137</v>
      </c>
    </row>
    <row r="18" spans="1:13" x14ac:dyDescent="0.25">
      <c r="A18" t="s">
        <v>91</v>
      </c>
      <c r="B18" t="s">
        <v>86</v>
      </c>
      <c r="C18" s="44">
        <v>239</v>
      </c>
      <c r="D18" s="9">
        <v>73</v>
      </c>
      <c r="E18" s="9">
        <v>75</v>
      </c>
      <c r="F18" s="9">
        <v>82</v>
      </c>
      <c r="G18" s="9">
        <v>81</v>
      </c>
      <c r="H18" s="12">
        <v>76.666666666666671</v>
      </c>
      <c r="I18" s="12">
        <f t="shared" si="0"/>
        <v>79.333333333333329</v>
      </c>
      <c r="J18" s="9" t="str">
        <f t="shared" si="1"/>
        <v>FALSE</v>
      </c>
      <c r="K18" s="12">
        <f t="shared" si="2"/>
        <v>-4.3333333333333286</v>
      </c>
      <c r="L18" s="37">
        <v>76.666666666666671</v>
      </c>
      <c r="M18" s="38" t="s">
        <v>137</v>
      </c>
    </row>
    <row r="19" spans="1:13" x14ac:dyDescent="0.25">
      <c r="A19" t="s">
        <v>47</v>
      </c>
      <c r="B19" t="s">
        <v>42</v>
      </c>
      <c r="C19" s="44">
        <v>116.4</v>
      </c>
      <c r="D19" s="9">
        <v>76</v>
      </c>
      <c r="E19" s="9">
        <v>74</v>
      </c>
      <c r="F19" s="9">
        <v>79</v>
      </c>
      <c r="G19" s="9">
        <v>78</v>
      </c>
      <c r="H19" s="12">
        <v>76.333333333333329</v>
      </c>
      <c r="I19" s="12">
        <f t="shared" si="0"/>
        <v>77</v>
      </c>
      <c r="J19" s="9" t="str">
        <f t="shared" si="1"/>
        <v>FALSE</v>
      </c>
      <c r="K19" s="12">
        <f t="shared" si="2"/>
        <v>-1.6666666666666714</v>
      </c>
      <c r="L19" s="37">
        <v>76.333333333333329</v>
      </c>
      <c r="M19" s="38" t="s">
        <v>137</v>
      </c>
    </row>
    <row r="20" spans="1:13" x14ac:dyDescent="0.25">
      <c r="A20" t="s">
        <v>17</v>
      </c>
      <c r="B20" t="s">
        <v>5</v>
      </c>
      <c r="C20" s="9">
        <v>519.6</v>
      </c>
      <c r="D20" s="9">
        <v>77</v>
      </c>
      <c r="E20" s="9">
        <v>76</v>
      </c>
      <c r="F20" s="9">
        <v>76</v>
      </c>
      <c r="G20" s="9">
        <v>75</v>
      </c>
      <c r="H20" s="12">
        <v>76.333333333333329</v>
      </c>
      <c r="I20" s="12">
        <f t="shared" si="0"/>
        <v>75.666666666666671</v>
      </c>
      <c r="J20" s="9" t="str">
        <f t="shared" si="1"/>
        <v>TRUE</v>
      </c>
      <c r="K20" s="12">
        <f t="shared" si="2"/>
        <v>1.3333333333333286</v>
      </c>
      <c r="L20" s="37">
        <v>76.333333333333329</v>
      </c>
      <c r="M20" s="38" t="s">
        <v>137</v>
      </c>
    </row>
    <row r="21" spans="1:13" x14ac:dyDescent="0.25">
      <c r="A21" t="s">
        <v>83</v>
      </c>
      <c r="B21" t="s">
        <v>64</v>
      </c>
      <c r="C21" s="9">
        <v>295.39999999999998</v>
      </c>
      <c r="D21" s="9">
        <v>76</v>
      </c>
      <c r="E21" s="9">
        <v>77</v>
      </c>
      <c r="F21" s="9">
        <v>76</v>
      </c>
      <c r="G21" s="9">
        <v>75</v>
      </c>
      <c r="H21" s="12">
        <v>76.333333333333329</v>
      </c>
      <c r="I21" s="12">
        <f t="shared" si="0"/>
        <v>76</v>
      </c>
      <c r="J21" s="9" t="str">
        <f t="shared" si="1"/>
        <v>TRUE</v>
      </c>
      <c r="K21" s="12">
        <f t="shared" si="2"/>
        <v>1.3333333333333286</v>
      </c>
      <c r="L21" s="37">
        <v>76.333333333333329</v>
      </c>
      <c r="M21" s="38" t="s">
        <v>137</v>
      </c>
    </row>
    <row r="22" spans="1:13" x14ac:dyDescent="0.25">
      <c r="A22" t="s">
        <v>67</v>
      </c>
      <c r="B22" t="s">
        <v>64</v>
      </c>
      <c r="C22" s="9">
        <v>170.8</v>
      </c>
      <c r="D22" s="9">
        <v>77</v>
      </c>
      <c r="E22" s="9">
        <v>76</v>
      </c>
      <c r="F22" s="9">
        <v>75</v>
      </c>
      <c r="G22" s="9">
        <v>74</v>
      </c>
      <c r="H22" s="12">
        <v>76</v>
      </c>
      <c r="I22" s="12">
        <f t="shared" si="0"/>
        <v>75</v>
      </c>
      <c r="J22" s="9" t="str">
        <f t="shared" si="1"/>
        <v>TRUE</v>
      </c>
      <c r="K22" s="12">
        <f t="shared" si="2"/>
        <v>2</v>
      </c>
      <c r="L22" s="37">
        <v>76</v>
      </c>
      <c r="M22" s="38" t="s">
        <v>137</v>
      </c>
    </row>
    <row r="23" spans="1:13" x14ac:dyDescent="0.25">
      <c r="A23" t="s">
        <v>23</v>
      </c>
      <c r="B23" t="s">
        <v>21</v>
      </c>
      <c r="C23" s="9">
        <v>94.2</v>
      </c>
      <c r="D23" s="9">
        <v>78</v>
      </c>
      <c r="E23" s="9">
        <v>77</v>
      </c>
      <c r="F23" s="9">
        <v>73</v>
      </c>
      <c r="G23" s="9">
        <v>72</v>
      </c>
      <c r="H23" s="12">
        <v>76</v>
      </c>
      <c r="I23" s="12">
        <f t="shared" si="0"/>
        <v>74</v>
      </c>
      <c r="J23" s="9" t="str">
        <f t="shared" si="1"/>
        <v>TRUE</v>
      </c>
      <c r="K23" s="12">
        <f t="shared" si="2"/>
        <v>4</v>
      </c>
      <c r="L23" s="37">
        <v>76</v>
      </c>
      <c r="M23" s="38" t="s">
        <v>137</v>
      </c>
    </row>
    <row r="24" spans="1:13" x14ac:dyDescent="0.25">
      <c r="A24" t="s">
        <v>74</v>
      </c>
      <c r="B24" t="s">
        <v>64</v>
      </c>
      <c r="C24" s="9">
        <v>196.8</v>
      </c>
      <c r="D24" s="9">
        <v>77</v>
      </c>
      <c r="E24" s="9">
        <v>76</v>
      </c>
      <c r="F24" s="9">
        <v>75</v>
      </c>
      <c r="G24" s="9">
        <v>75</v>
      </c>
      <c r="H24" s="12">
        <v>76</v>
      </c>
      <c r="I24" s="12">
        <f t="shared" si="0"/>
        <v>75.333333333333329</v>
      </c>
      <c r="J24" s="9" t="str">
        <f t="shared" si="1"/>
        <v>TRUE</v>
      </c>
      <c r="K24" s="12">
        <f t="shared" si="2"/>
        <v>1</v>
      </c>
      <c r="L24" s="37">
        <v>76</v>
      </c>
      <c r="M24" s="38" t="s">
        <v>137</v>
      </c>
    </row>
    <row r="25" spans="1:13" x14ac:dyDescent="0.25">
      <c r="A25" t="s">
        <v>77</v>
      </c>
      <c r="B25" t="s">
        <v>64</v>
      </c>
      <c r="C25" s="9">
        <v>70.900000000000006</v>
      </c>
      <c r="D25" s="9">
        <v>77</v>
      </c>
      <c r="E25" s="9">
        <v>76</v>
      </c>
      <c r="F25" s="9">
        <v>75</v>
      </c>
      <c r="G25" s="9">
        <v>74</v>
      </c>
      <c r="H25" s="12">
        <v>76</v>
      </c>
      <c r="I25" s="12">
        <f t="shared" si="0"/>
        <v>75</v>
      </c>
      <c r="J25" s="9" t="str">
        <f t="shared" si="1"/>
        <v>TRUE</v>
      </c>
      <c r="K25" s="12">
        <f t="shared" si="2"/>
        <v>2</v>
      </c>
      <c r="L25" s="37">
        <v>76</v>
      </c>
      <c r="M25" s="38" t="s">
        <v>137</v>
      </c>
    </row>
    <row r="26" spans="1:13" x14ac:dyDescent="0.25">
      <c r="A26" t="s">
        <v>63</v>
      </c>
      <c r="B26" t="s">
        <v>64</v>
      </c>
      <c r="C26" s="9">
        <v>105.4</v>
      </c>
      <c r="D26" s="9">
        <v>75</v>
      </c>
      <c r="E26" s="9">
        <v>73</v>
      </c>
      <c r="F26" s="9">
        <v>79</v>
      </c>
      <c r="G26" s="9">
        <v>78</v>
      </c>
      <c r="H26" s="12">
        <v>75.666666666666671</v>
      </c>
      <c r="I26" s="12">
        <f t="shared" si="0"/>
        <v>76.666666666666671</v>
      </c>
      <c r="J26" s="9" t="str">
        <f t="shared" si="1"/>
        <v>FALSE</v>
      </c>
      <c r="K26" s="12">
        <f t="shared" si="2"/>
        <v>-2.3333333333333286</v>
      </c>
      <c r="L26" s="37">
        <v>75.666666666666671</v>
      </c>
      <c r="M26" s="38" t="s">
        <v>137</v>
      </c>
    </row>
    <row r="27" spans="1:13" x14ac:dyDescent="0.25">
      <c r="A27" t="s">
        <v>13</v>
      </c>
      <c r="B27" t="s">
        <v>5</v>
      </c>
      <c r="C27" s="9">
        <v>733.9</v>
      </c>
      <c r="D27" s="9">
        <v>76</v>
      </c>
      <c r="E27" s="9">
        <v>76</v>
      </c>
      <c r="F27" s="9">
        <v>74</v>
      </c>
      <c r="G27" s="9">
        <v>73</v>
      </c>
      <c r="H27" s="12">
        <v>75.333333333333329</v>
      </c>
      <c r="I27" s="12">
        <f t="shared" si="0"/>
        <v>74.333333333333329</v>
      </c>
      <c r="J27" s="9" t="str">
        <f t="shared" si="1"/>
        <v>TRUE</v>
      </c>
      <c r="K27" s="12">
        <f t="shared" si="2"/>
        <v>2.3333333333333286</v>
      </c>
      <c r="L27" s="37">
        <v>75.333333333333329</v>
      </c>
      <c r="M27" s="38" t="s">
        <v>137</v>
      </c>
    </row>
    <row r="28" spans="1:13" x14ac:dyDescent="0.25">
      <c r="A28" t="s">
        <v>29</v>
      </c>
      <c r="B28" t="s">
        <v>21</v>
      </c>
      <c r="C28" s="9">
        <v>199.3</v>
      </c>
      <c r="D28" s="9">
        <v>75</v>
      </c>
      <c r="E28" s="9">
        <v>73</v>
      </c>
      <c r="F28" s="9">
        <v>77</v>
      </c>
      <c r="G28" s="9">
        <v>76</v>
      </c>
      <c r="H28" s="12">
        <v>75</v>
      </c>
      <c r="I28" s="12">
        <f t="shared" si="0"/>
        <v>75.333333333333329</v>
      </c>
      <c r="J28" s="9" t="str">
        <f t="shared" si="1"/>
        <v>FALSE</v>
      </c>
      <c r="K28" s="12">
        <f t="shared" si="2"/>
        <v>-1</v>
      </c>
      <c r="L28" s="37">
        <v>75</v>
      </c>
      <c r="M28" s="38" t="s">
        <v>137</v>
      </c>
    </row>
    <row r="29" spans="1:13" x14ac:dyDescent="0.25">
      <c r="A29" t="s">
        <v>49</v>
      </c>
      <c r="B29" t="s">
        <v>42</v>
      </c>
      <c r="C29" s="9">
        <v>21.6</v>
      </c>
      <c r="D29" s="9">
        <v>77</v>
      </c>
      <c r="E29" s="9">
        <v>75</v>
      </c>
      <c r="F29" s="9">
        <v>73</v>
      </c>
      <c r="G29" s="9">
        <v>72</v>
      </c>
      <c r="H29" s="12">
        <v>75</v>
      </c>
      <c r="I29" s="12">
        <f t="shared" si="0"/>
        <v>73.333333333333329</v>
      </c>
      <c r="J29" s="9" t="str">
        <f t="shared" si="1"/>
        <v>TRUE</v>
      </c>
      <c r="K29" s="12">
        <f t="shared" si="2"/>
        <v>3</v>
      </c>
      <c r="L29" s="37">
        <v>75</v>
      </c>
      <c r="M29" s="38" t="s">
        <v>137</v>
      </c>
    </row>
    <row r="30" spans="1:13" x14ac:dyDescent="0.25">
      <c r="A30" t="s">
        <v>101</v>
      </c>
      <c r="B30" t="s">
        <v>86</v>
      </c>
      <c r="C30" s="9">
        <v>641.5</v>
      </c>
      <c r="D30" s="9">
        <v>77</v>
      </c>
      <c r="E30" s="9">
        <v>74</v>
      </c>
      <c r="F30" s="9">
        <v>74</v>
      </c>
      <c r="G30" s="9">
        <v>74</v>
      </c>
      <c r="H30" s="12">
        <v>75</v>
      </c>
      <c r="I30" s="12">
        <f t="shared" si="0"/>
        <v>74</v>
      </c>
      <c r="J30" s="9" t="str">
        <f t="shared" si="1"/>
        <v>TRUE</v>
      </c>
      <c r="K30" s="12">
        <f t="shared" si="2"/>
        <v>1</v>
      </c>
      <c r="L30" s="37">
        <v>75</v>
      </c>
      <c r="M30" s="38" t="s">
        <v>137</v>
      </c>
    </row>
    <row r="31" spans="1:13" x14ac:dyDescent="0.25">
      <c r="A31" t="s">
        <v>94</v>
      </c>
      <c r="B31" t="s">
        <v>86</v>
      </c>
      <c r="C31" s="9">
        <v>302.39999999999998</v>
      </c>
      <c r="D31" s="9">
        <v>75</v>
      </c>
      <c r="E31" s="9">
        <v>75</v>
      </c>
      <c r="F31" s="9">
        <v>74</v>
      </c>
      <c r="G31" s="9">
        <v>73</v>
      </c>
      <c r="H31" s="12">
        <v>74.666666666666671</v>
      </c>
      <c r="I31" s="12">
        <f t="shared" si="0"/>
        <v>74</v>
      </c>
      <c r="J31" s="9" t="str">
        <f t="shared" si="1"/>
        <v>TRUE</v>
      </c>
      <c r="K31" s="12">
        <f t="shared" si="2"/>
        <v>1.6666666666666714</v>
      </c>
      <c r="L31" s="37">
        <v>74.666666666666671</v>
      </c>
      <c r="M31" s="38" t="s">
        <v>137</v>
      </c>
    </row>
    <row r="32" spans="1:13" x14ac:dyDescent="0.25">
      <c r="A32" t="s">
        <v>61</v>
      </c>
      <c r="B32" t="s">
        <v>62</v>
      </c>
      <c r="C32" s="45">
        <v>2148.3000000000002</v>
      </c>
      <c r="D32" s="9">
        <v>74</v>
      </c>
      <c r="E32" s="9">
        <v>75</v>
      </c>
      <c r="F32" s="9">
        <v>75</v>
      </c>
      <c r="G32" s="9">
        <v>75</v>
      </c>
      <c r="H32" s="12">
        <v>74.666666666666671</v>
      </c>
      <c r="I32" s="12">
        <f t="shared" si="0"/>
        <v>75</v>
      </c>
      <c r="J32" s="9" t="str">
        <f t="shared" si="1"/>
        <v>FALSE</v>
      </c>
      <c r="K32" s="12">
        <f t="shared" si="2"/>
        <v>-0.3333333333333286</v>
      </c>
      <c r="L32" s="37">
        <v>74.666666666666671</v>
      </c>
      <c r="M32" s="38" t="s">
        <v>137</v>
      </c>
    </row>
    <row r="33" spans="1:13" x14ac:dyDescent="0.25">
      <c r="A33" t="s">
        <v>82</v>
      </c>
      <c r="B33" t="s">
        <v>64</v>
      </c>
      <c r="C33" s="9">
        <v>629</v>
      </c>
      <c r="D33" s="9">
        <v>76</v>
      </c>
      <c r="E33" s="9">
        <v>74</v>
      </c>
      <c r="F33" s="9">
        <v>73</v>
      </c>
      <c r="G33" s="9">
        <v>72</v>
      </c>
      <c r="H33" s="12">
        <v>74.333333333333329</v>
      </c>
      <c r="I33" s="12">
        <f t="shared" si="0"/>
        <v>73</v>
      </c>
      <c r="J33" s="9" t="str">
        <f t="shared" si="1"/>
        <v>TRUE</v>
      </c>
      <c r="K33" s="12">
        <f t="shared" si="2"/>
        <v>2.3333333333333286</v>
      </c>
      <c r="L33" s="37">
        <v>74.333333333333329</v>
      </c>
      <c r="M33" s="38" t="s">
        <v>137</v>
      </c>
    </row>
    <row r="34" spans="1:13" x14ac:dyDescent="0.25">
      <c r="A34" t="s">
        <v>98</v>
      </c>
      <c r="B34" t="s">
        <v>86</v>
      </c>
      <c r="C34" s="9">
        <v>609.70000000000005</v>
      </c>
      <c r="D34" s="9">
        <v>73</v>
      </c>
      <c r="E34" s="9">
        <v>75</v>
      </c>
      <c r="F34" s="9">
        <v>74</v>
      </c>
      <c r="G34" s="9">
        <v>73</v>
      </c>
      <c r="H34" s="12">
        <v>74</v>
      </c>
      <c r="I34" s="12">
        <f t="shared" ref="I34:I65" si="3">AVERAGE($E34:$G34)</f>
        <v>74</v>
      </c>
      <c r="J34" s="9" t="str">
        <f t="shared" ref="J34:J65" si="4">IF($H34&gt;$G34,"TRUE","FALSE")</f>
        <v>TRUE</v>
      </c>
      <c r="K34" s="12">
        <f t="shared" ref="K34:K65" si="5">$H34-$G34</f>
        <v>1</v>
      </c>
      <c r="L34" s="37">
        <v>74</v>
      </c>
      <c r="M34" s="38" t="s">
        <v>137</v>
      </c>
    </row>
    <row r="35" spans="1:13" x14ac:dyDescent="0.25">
      <c r="A35" t="s">
        <v>84</v>
      </c>
      <c r="B35" t="s">
        <v>64</v>
      </c>
      <c r="C35" s="9">
        <v>96.3</v>
      </c>
      <c r="D35" s="9">
        <v>74</v>
      </c>
      <c r="E35" s="9">
        <v>75</v>
      </c>
      <c r="F35" s="9">
        <v>73</v>
      </c>
      <c r="G35" s="9">
        <v>72</v>
      </c>
      <c r="H35" s="12">
        <v>74</v>
      </c>
      <c r="I35" s="12">
        <f t="shared" si="3"/>
        <v>73.333333333333329</v>
      </c>
      <c r="J35" s="9" t="str">
        <f t="shared" si="4"/>
        <v>TRUE</v>
      </c>
      <c r="K35" s="12">
        <f t="shared" si="5"/>
        <v>2</v>
      </c>
      <c r="L35" s="37">
        <v>74</v>
      </c>
      <c r="M35" s="38" t="s">
        <v>137</v>
      </c>
    </row>
    <row r="36" spans="1:13" x14ac:dyDescent="0.25">
      <c r="A36" t="s">
        <v>31</v>
      </c>
      <c r="B36" t="s">
        <v>21</v>
      </c>
      <c r="C36" s="9">
        <v>113.3</v>
      </c>
      <c r="D36" s="9">
        <v>71</v>
      </c>
      <c r="E36" s="9">
        <v>76</v>
      </c>
      <c r="F36" s="9">
        <v>74</v>
      </c>
      <c r="G36" s="9">
        <v>76</v>
      </c>
      <c r="H36" s="12">
        <v>73.666666666666671</v>
      </c>
      <c r="I36" s="12">
        <f t="shared" si="3"/>
        <v>75.333333333333329</v>
      </c>
      <c r="J36" s="9" t="str">
        <f t="shared" si="4"/>
        <v>FALSE</v>
      </c>
      <c r="K36" s="12">
        <f t="shared" si="5"/>
        <v>-2.3333333333333286</v>
      </c>
      <c r="L36" s="37">
        <v>73.666666666666671</v>
      </c>
      <c r="M36" s="38" t="s">
        <v>137</v>
      </c>
    </row>
    <row r="37" spans="1:13" x14ac:dyDescent="0.25">
      <c r="A37" t="s">
        <v>6</v>
      </c>
      <c r="B37" t="s">
        <v>5</v>
      </c>
      <c r="C37" s="9">
        <v>993.1</v>
      </c>
      <c r="D37" s="9">
        <v>74</v>
      </c>
      <c r="E37" s="9">
        <v>72</v>
      </c>
      <c r="F37" s="9">
        <v>74</v>
      </c>
      <c r="G37" s="9">
        <v>73</v>
      </c>
      <c r="H37" s="12">
        <v>73.333333333333329</v>
      </c>
      <c r="I37" s="12">
        <f t="shared" si="3"/>
        <v>73</v>
      </c>
      <c r="J37" s="9" t="str">
        <f t="shared" si="4"/>
        <v>TRUE</v>
      </c>
      <c r="K37" s="12">
        <f t="shared" si="5"/>
        <v>0.3333333333333286</v>
      </c>
      <c r="L37" s="37">
        <v>73.333333333333329</v>
      </c>
      <c r="M37" s="38" t="s">
        <v>137</v>
      </c>
    </row>
    <row r="38" spans="1:13" x14ac:dyDescent="0.25">
      <c r="A38" t="s">
        <v>109</v>
      </c>
      <c r="B38" t="s">
        <v>103</v>
      </c>
      <c r="C38" s="9">
        <v>696.3</v>
      </c>
      <c r="D38" s="9">
        <v>74</v>
      </c>
      <c r="E38" s="9">
        <v>72</v>
      </c>
      <c r="F38" s="9">
        <v>74</v>
      </c>
      <c r="G38" s="9">
        <v>72</v>
      </c>
      <c r="H38" s="12">
        <v>73.333333333333329</v>
      </c>
      <c r="I38" s="12">
        <f t="shared" si="3"/>
        <v>72.666666666666671</v>
      </c>
      <c r="J38" s="9" t="str">
        <f t="shared" si="4"/>
        <v>TRUE</v>
      </c>
      <c r="K38" s="12">
        <f t="shared" si="5"/>
        <v>1.3333333333333286</v>
      </c>
      <c r="L38" s="37">
        <v>73.333333333333329</v>
      </c>
      <c r="M38" s="38" t="s">
        <v>137</v>
      </c>
    </row>
    <row r="39" spans="1:13" x14ac:dyDescent="0.25">
      <c r="A39" t="s">
        <v>12</v>
      </c>
      <c r="B39" t="s">
        <v>5</v>
      </c>
      <c r="C39" s="9">
        <v>681.4</v>
      </c>
      <c r="D39" s="9">
        <v>70</v>
      </c>
      <c r="E39" s="9">
        <v>73</v>
      </c>
      <c r="F39" s="9">
        <v>76</v>
      </c>
      <c r="G39" s="9">
        <v>74</v>
      </c>
      <c r="H39" s="12">
        <v>73</v>
      </c>
      <c r="I39" s="12">
        <f t="shared" si="3"/>
        <v>74.333333333333329</v>
      </c>
      <c r="J39" s="9" t="str">
        <f t="shared" si="4"/>
        <v>FALSE</v>
      </c>
      <c r="K39" s="12">
        <f t="shared" si="5"/>
        <v>-1</v>
      </c>
      <c r="L39" s="37">
        <v>73</v>
      </c>
      <c r="M39" s="38" t="s">
        <v>137</v>
      </c>
    </row>
    <row r="40" spans="1:13" x14ac:dyDescent="0.25">
      <c r="A40" t="s">
        <v>89</v>
      </c>
      <c r="B40" t="s">
        <v>86</v>
      </c>
      <c r="C40" s="9">
        <v>227.1</v>
      </c>
      <c r="D40" s="9">
        <v>75</v>
      </c>
      <c r="E40" s="9">
        <v>73</v>
      </c>
      <c r="F40" s="9">
        <v>71</v>
      </c>
      <c r="G40" s="9">
        <v>70</v>
      </c>
      <c r="H40" s="12">
        <v>73</v>
      </c>
      <c r="I40" s="12">
        <f t="shared" si="3"/>
        <v>71.333333333333329</v>
      </c>
      <c r="J40" s="9" t="str">
        <f t="shared" si="4"/>
        <v>TRUE</v>
      </c>
      <c r="K40" s="12">
        <f t="shared" si="5"/>
        <v>3</v>
      </c>
      <c r="L40" s="37">
        <v>73</v>
      </c>
      <c r="M40" s="38" t="s">
        <v>137</v>
      </c>
    </row>
    <row r="41" spans="1:13" x14ac:dyDescent="0.25">
      <c r="A41" t="s">
        <v>53</v>
      </c>
      <c r="B41" t="s">
        <v>42</v>
      </c>
      <c r="C41" s="9">
        <v>67.7</v>
      </c>
      <c r="D41" s="9">
        <v>71</v>
      </c>
      <c r="E41" s="9">
        <v>73</v>
      </c>
      <c r="F41" s="9">
        <v>75</v>
      </c>
      <c r="G41" s="9">
        <v>74</v>
      </c>
      <c r="H41" s="12">
        <v>73</v>
      </c>
      <c r="I41" s="12">
        <f t="shared" si="3"/>
        <v>74</v>
      </c>
      <c r="J41" s="9" t="str">
        <f t="shared" si="4"/>
        <v>FALSE</v>
      </c>
      <c r="K41" s="12">
        <f t="shared" si="5"/>
        <v>-1</v>
      </c>
      <c r="L41" s="37">
        <v>73</v>
      </c>
      <c r="M41" s="38" t="s">
        <v>137</v>
      </c>
    </row>
    <row r="42" spans="1:13" x14ac:dyDescent="0.25">
      <c r="A42" t="s">
        <v>97</v>
      </c>
      <c r="B42" t="s">
        <v>86</v>
      </c>
      <c r="C42" s="45">
        <v>4469.1000000000004</v>
      </c>
      <c r="D42" s="9">
        <v>71</v>
      </c>
      <c r="E42" s="9">
        <v>73</v>
      </c>
      <c r="F42" s="9">
        <v>74</v>
      </c>
      <c r="G42" s="9">
        <v>71</v>
      </c>
      <c r="H42" s="12">
        <v>72.666666666666671</v>
      </c>
      <c r="I42" s="12">
        <f t="shared" si="3"/>
        <v>72.666666666666671</v>
      </c>
      <c r="J42" s="9" t="str">
        <f t="shared" si="4"/>
        <v>TRUE</v>
      </c>
      <c r="K42" s="12">
        <f t="shared" si="5"/>
        <v>1.6666666666666714</v>
      </c>
      <c r="L42" s="37">
        <v>72.666666666666671</v>
      </c>
      <c r="M42" s="38" t="s">
        <v>137</v>
      </c>
    </row>
    <row r="43" spans="1:13" x14ac:dyDescent="0.25">
      <c r="A43" t="s">
        <v>66</v>
      </c>
      <c r="B43" t="s">
        <v>64</v>
      </c>
      <c r="C43" s="9">
        <v>67.900000000000006</v>
      </c>
      <c r="D43" s="9">
        <v>74</v>
      </c>
      <c r="E43" s="9">
        <v>72</v>
      </c>
      <c r="F43" s="9">
        <v>71</v>
      </c>
      <c r="G43" s="9">
        <v>69</v>
      </c>
      <c r="H43" s="12">
        <v>72.333333333333329</v>
      </c>
      <c r="I43" s="12">
        <f t="shared" si="3"/>
        <v>70.666666666666671</v>
      </c>
      <c r="J43" s="9" t="str">
        <f t="shared" si="4"/>
        <v>TRUE</v>
      </c>
      <c r="K43" s="12">
        <f t="shared" si="5"/>
        <v>3.3333333333333286</v>
      </c>
      <c r="L43" s="37">
        <v>72.333333333333329</v>
      </c>
      <c r="M43" s="38" t="s">
        <v>137</v>
      </c>
    </row>
    <row r="44" spans="1:13" x14ac:dyDescent="0.25">
      <c r="A44" t="s">
        <v>93</v>
      </c>
      <c r="B44" t="s">
        <v>86</v>
      </c>
      <c r="C44" s="9">
        <v>31.3</v>
      </c>
      <c r="D44" s="9">
        <v>72</v>
      </c>
      <c r="E44" s="9">
        <v>70</v>
      </c>
      <c r="F44" s="9">
        <v>74</v>
      </c>
      <c r="G44" s="9">
        <v>73</v>
      </c>
      <c r="H44" s="12">
        <v>72</v>
      </c>
      <c r="I44" s="12">
        <f t="shared" si="3"/>
        <v>72.333333333333329</v>
      </c>
      <c r="J44" s="9" t="str">
        <f t="shared" si="4"/>
        <v>FALSE</v>
      </c>
      <c r="K44" s="12">
        <f t="shared" si="5"/>
        <v>-1</v>
      </c>
      <c r="L44" s="37">
        <v>72</v>
      </c>
      <c r="M44" s="38" t="s">
        <v>137</v>
      </c>
    </row>
    <row r="45" spans="1:13" x14ac:dyDescent="0.25">
      <c r="A45" t="s">
        <v>50</v>
      </c>
      <c r="B45" t="s">
        <v>42</v>
      </c>
      <c r="C45" s="9">
        <v>81</v>
      </c>
      <c r="D45" s="9">
        <v>70</v>
      </c>
      <c r="E45" s="9">
        <v>72</v>
      </c>
      <c r="F45" s="9">
        <v>74</v>
      </c>
      <c r="G45" s="9">
        <v>73</v>
      </c>
      <c r="H45" s="12">
        <v>72</v>
      </c>
      <c r="I45" s="12">
        <f t="shared" si="3"/>
        <v>73</v>
      </c>
      <c r="J45" s="9" t="str">
        <f t="shared" si="4"/>
        <v>FALSE</v>
      </c>
      <c r="K45" s="12">
        <f t="shared" si="5"/>
        <v>-1</v>
      </c>
      <c r="L45" s="37">
        <v>72</v>
      </c>
      <c r="M45" s="38" t="s">
        <v>137</v>
      </c>
    </row>
    <row r="46" spans="1:13" x14ac:dyDescent="0.25">
      <c r="A46" t="s">
        <v>41</v>
      </c>
      <c r="B46" t="s">
        <v>42</v>
      </c>
      <c r="C46" s="9">
        <v>23.4</v>
      </c>
      <c r="D46" s="9">
        <v>70</v>
      </c>
      <c r="E46" s="9">
        <v>73</v>
      </c>
      <c r="F46" s="9">
        <v>72</v>
      </c>
      <c r="G46" s="9">
        <v>71</v>
      </c>
      <c r="H46" s="12">
        <v>71.666666666666671</v>
      </c>
      <c r="I46" s="12">
        <f t="shared" si="3"/>
        <v>72</v>
      </c>
      <c r="J46" s="9" t="str">
        <f t="shared" si="4"/>
        <v>TRUE</v>
      </c>
      <c r="K46" s="12">
        <f t="shared" si="5"/>
        <v>0.6666666666666714</v>
      </c>
      <c r="L46" s="37">
        <v>71.666666666666671</v>
      </c>
      <c r="M46" s="38" t="s">
        <v>137</v>
      </c>
    </row>
    <row r="47" spans="1:13" x14ac:dyDescent="0.25">
      <c r="A47" t="s">
        <v>113</v>
      </c>
      <c r="B47" t="s">
        <v>112</v>
      </c>
      <c r="C47" s="9">
        <v>49.7</v>
      </c>
      <c r="D47" s="9">
        <v>66</v>
      </c>
      <c r="E47" s="9">
        <v>74</v>
      </c>
      <c r="F47" s="9">
        <v>75</v>
      </c>
      <c r="G47" s="9">
        <v>74</v>
      </c>
      <c r="H47" s="12">
        <v>71.666666666666671</v>
      </c>
      <c r="I47" s="12">
        <f t="shared" si="3"/>
        <v>74.333333333333329</v>
      </c>
      <c r="J47" s="9" t="str">
        <f t="shared" si="4"/>
        <v>FALSE</v>
      </c>
      <c r="K47" s="12">
        <f t="shared" si="5"/>
        <v>-2.3333333333333286</v>
      </c>
      <c r="L47" s="37">
        <v>71.666666666666671</v>
      </c>
      <c r="M47" s="38" t="s">
        <v>137</v>
      </c>
    </row>
    <row r="48" spans="1:13" x14ac:dyDescent="0.25">
      <c r="A48" t="s">
        <v>36</v>
      </c>
      <c r="B48" t="s">
        <v>21</v>
      </c>
      <c r="C48" s="9">
        <v>225.4</v>
      </c>
      <c r="D48" s="9">
        <v>73</v>
      </c>
      <c r="E48" s="9">
        <v>71</v>
      </c>
      <c r="F48" s="9">
        <v>71</v>
      </c>
      <c r="G48" s="9">
        <v>69</v>
      </c>
      <c r="H48" s="12">
        <v>71.666666666666671</v>
      </c>
      <c r="I48" s="12">
        <f t="shared" si="3"/>
        <v>70.333333333333329</v>
      </c>
      <c r="J48" s="9" t="str">
        <f t="shared" si="4"/>
        <v>TRUE</v>
      </c>
      <c r="K48" s="12">
        <f t="shared" si="5"/>
        <v>2.6666666666666714</v>
      </c>
      <c r="L48" s="37">
        <v>71.666666666666671</v>
      </c>
      <c r="M48" s="38" t="s">
        <v>137</v>
      </c>
    </row>
    <row r="49" spans="1:13" x14ac:dyDescent="0.25">
      <c r="A49" t="s">
        <v>81</v>
      </c>
      <c r="B49" t="s">
        <v>64</v>
      </c>
      <c r="C49" s="9">
        <v>428.9</v>
      </c>
      <c r="D49" s="9">
        <v>70</v>
      </c>
      <c r="E49" s="9">
        <v>73</v>
      </c>
      <c r="F49" s="9">
        <v>72</v>
      </c>
      <c r="G49" s="9">
        <v>71</v>
      </c>
      <c r="H49" s="12">
        <v>71.666666666666671</v>
      </c>
      <c r="I49" s="12">
        <f t="shared" si="3"/>
        <v>72</v>
      </c>
      <c r="J49" s="9" t="str">
        <f t="shared" si="4"/>
        <v>TRUE</v>
      </c>
      <c r="K49" s="12">
        <f t="shared" si="5"/>
        <v>0.6666666666666714</v>
      </c>
      <c r="L49" s="37">
        <v>71.666666666666671</v>
      </c>
      <c r="M49" s="38" t="s">
        <v>137</v>
      </c>
    </row>
    <row r="50" spans="1:13" x14ac:dyDescent="0.25">
      <c r="A50" t="s">
        <v>25</v>
      </c>
      <c r="B50" t="s">
        <v>21</v>
      </c>
      <c r="C50" s="45">
        <v>1347.7</v>
      </c>
      <c r="D50" s="9">
        <v>70</v>
      </c>
      <c r="E50" s="9">
        <v>73</v>
      </c>
      <c r="F50" s="9">
        <v>71</v>
      </c>
      <c r="G50" s="9">
        <v>70</v>
      </c>
      <c r="H50" s="12">
        <v>71.333333333333329</v>
      </c>
      <c r="I50" s="12">
        <f t="shared" si="3"/>
        <v>71.333333333333329</v>
      </c>
      <c r="J50" s="9" t="str">
        <f t="shared" si="4"/>
        <v>TRUE</v>
      </c>
      <c r="K50" s="12">
        <f t="shared" si="5"/>
        <v>1.3333333333333286</v>
      </c>
      <c r="L50" s="37">
        <v>71.333333333333329</v>
      </c>
      <c r="M50" s="38" t="s">
        <v>137</v>
      </c>
    </row>
    <row r="51" spans="1:13" x14ac:dyDescent="0.25">
      <c r="A51" t="s">
        <v>14</v>
      </c>
      <c r="B51" t="s">
        <v>5</v>
      </c>
      <c r="C51" s="9">
        <v>262.8</v>
      </c>
      <c r="D51" s="9">
        <v>71</v>
      </c>
      <c r="E51" s="9">
        <v>72</v>
      </c>
      <c r="F51" s="9">
        <v>71</v>
      </c>
      <c r="G51" s="9">
        <v>70</v>
      </c>
      <c r="H51" s="12">
        <v>71.333333333333329</v>
      </c>
      <c r="I51" s="12">
        <f t="shared" si="3"/>
        <v>71</v>
      </c>
      <c r="J51" s="9" t="str">
        <f t="shared" si="4"/>
        <v>TRUE</v>
      </c>
      <c r="K51" s="12">
        <f t="shared" si="5"/>
        <v>1.3333333333333286</v>
      </c>
      <c r="L51" s="37">
        <v>71.333333333333329</v>
      </c>
      <c r="M51" s="38" t="s">
        <v>137</v>
      </c>
    </row>
    <row r="52" spans="1:13" x14ac:dyDescent="0.25">
      <c r="A52" t="s">
        <v>11</v>
      </c>
      <c r="B52" t="s">
        <v>5</v>
      </c>
      <c r="C52" s="45">
        <v>1095.2</v>
      </c>
      <c r="D52" s="9">
        <v>71</v>
      </c>
      <c r="E52" s="9">
        <v>70</v>
      </c>
      <c r="F52" s="9">
        <v>71</v>
      </c>
      <c r="G52" s="9">
        <v>69</v>
      </c>
      <c r="H52" s="12">
        <v>70.666666666666671</v>
      </c>
      <c r="I52" s="12">
        <f t="shared" si="3"/>
        <v>70</v>
      </c>
      <c r="J52" s="9" t="str">
        <f t="shared" si="4"/>
        <v>TRUE</v>
      </c>
      <c r="K52" s="12">
        <f t="shared" si="5"/>
        <v>1.6666666666666714</v>
      </c>
      <c r="L52" s="37">
        <v>70.666666666666671</v>
      </c>
      <c r="M52" s="38" t="s">
        <v>137</v>
      </c>
    </row>
    <row r="53" spans="1:13" x14ac:dyDescent="0.25">
      <c r="A53" t="s">
        <v>121</v>
      </c>
      <c r="B53" t="s">
        <v>112</v>
      </c>
      <c r="C53" s="9">
        <v>172.2</v>
      </c>
      <c r="D53" s="9">
        <v>73</v>
      </c>
      <c r="E53" s="9">
        <v>70</v>
      </c>
      <c r="F53" s="9">
        <v>68</v>
      </c>
      <c r="G53" s="9">
        <v>67</v>
      </c>
      <c r="H53" s="12">
        <v>70.333333333333329</v>
      </c>
      <c r="I53" s="12">
        <f t="shared" si="3"/>
        <v>68.333333333333329</v>
      </c>
      <c r="J53" s="9" t="str">
        <f t="shared" si="4"/>
        <v>TRUE</v>
      </c>
      <c r="K53" s="12">
        <f t="shared" si="5"/>
        <v>3.3333333333333286</v>
      </c>
      <c r="L53" s="37">
        <v>70.333333333333329</v>
      </c>
      <c r="M53" s="38" t="s">
        <v>137</v>
      </c>
    </row>
    <row r="54" spans="1:13" x14ac:dyDescent="0.25">
      <c r="A54" t="s">
        <v>114</v>
      </c>
      <c r="B54" t="s">
        <v>112</v>
      </c>
      <c r="C54" s="9">
        <v>96.9</v>
      </c>
      <c r="D54" s="9">
        <v>72</v>
      </c>
      <c r="E54" s="9">
        <v>70</v>
      </c>
      <c r="F54" s="9">
        <v>68</v>
      </c>
      <c r="G54" s="9">
        <v>67</v>
      </c>
      <c r="H54" s="12">
        <v>70</v>
      </c>
      <c r="I54" s="12">
        <f t="shared" si="3"/>
        <v>68.333333333333329</v>
      </c>
      <c r="J54" s="9" t="str">
        <f t="shared" si="4"/>
        <v>TRUE</v>
      </c>
      <c r="K54" s="12">
        <f t="shared" si="5"/>
        <v>3</v>
      </c>
      <c r="L54" s="37">
        <v>70</v>
      </c>
      <c r="M54" s="38" t="s">
        <v>137</v>
      </c>
    </row>
    <row r="55" spans="1:13" x14ac:dyDescent="0.25">
      <c r="A55" t="s">
        <v>40</v>
      </c>
      <c r="B55" t="s">
        <v>21</v>
      </c>
      <c r="C55" s="9">
        <v>398.8</v>
      </c>
      <c r="D55" s="9">
        <v>70</v>
      </c>
      <c r="E55" s="9">
        <v>69</v>
      </c>
      <c r="F55" s="9">
        <v>71</v>
      </c>
      <c r="G55" s="9">
        <v>70</v>
      </c>
      <c r="H55" s="12">
        <v>70</v>
      </c>
      <c r="I55" s="12">
        <f t="shared" si="3"/>
        <v>70</v>
      </c>
      <c r="J55" s="9" t="str">
        <f t="shared" si="4"/>
        <v>FALSE</v>
      </c>
      <c r="K55" s="12">
        <f t="shared" si="5"/>
        <v>0</v>
      </c>
      <c r="L55" s="37">
        <v>70</v>
      </c>
      <c r="M55" s="38" t="s">
        <v>137</v>
      </c>
    </row>
    <row r="56" spans="1:13" x14ac:dyDescent="0.25">
      <c r="A56" t="s">
        <v>32</v>
      </c>
      <c r="B56" t="s">
        <v>21</v>
      </c>
      <c r="C56" s="9">
        <v>294.2</v>
      </c>
      <c r="D56" s="9">
        <v>71</v>
      </c>
      <c r="E56" s="9">
        <v>70</v>
      </c>
      <c r="F56" s="9">
        <v>68</v>
      </c>
      <c r="G56" s="9">
        <v>67</v>
      </c>
      <c r="H56" s="12">
        <v>69.666666666666671</v>
      </c>
      <c r="I56" s="12">
        <f t="shared" si="3"/>
        <v>68.333333333333329</v>
      </c>
      <c r="J56" s="9" t="str">
        <f t="shared" si="4"/>
        <v>TRUE</v>
      </c>
      <c r="K56" s="12">
        <f t="shared" si="5"/>
        <v>2.6666666666666714</v>
      </c>
      <c r="L56" s="37">
        <v>69.666666666666671</v>
      </c>
      <c r="M56" s="38" t="s">
        <v>137</v>
      </c>
    </row>
    <row r="57" spans="1:13" x14ac:dyDescent="0.25">
      <c r="A57" t="s">
        <v>30</v>
      </c>
      <c r="B57" t="s">
        <v>21</v>
      </c>
      <c r="C57" s="9">
        <v>236.2</v>
      </c>
      <c r="D57" s="9">
        <v>69</v>
      </c>
      <c r="E57" s="9">
        <v>69</v>
      </c>
      <c r="F57" s="9">
        <v>69</v>
      </c>
      <c r="G57" s="9">
        <v>68</v>
      </c>
      <c r="H57" s="12">
        <v>69</v>
      </c>
      <c r="I57" s="12">
        <f t="shared" si="3"/>
        <v>68.666666666666671</v>
      </c>
      <c r="J57" s="9" t="str">
        <f t="shared" si="4"/>
        <v>TRUE</v>
      </c>
      <c r="K57" s="12">
        <f t="shared" si="5"/>
        <v>1</v>
      </c>
      <c r="L57" s="37">
        <v>69</v>
      </c>
      <c r="M57" s="38" t="s">
        <v>138</v>
      </c>
    </row>
    <row r="58" spans="1:13" x14ac:dyDescent="0.25">
      <c r="A58" t="s">
        <v>92</v>
      </c>
      <c r="B58" t="s">
        <v>86</v>
      </c>
      <c r="C58" s="9">
        <v>308.39999999999998</v>
      </c>
      <c r="D58" s="9">
        <v>68</v>
      </c>
      <c r="E58" s="9">
        <v>71</v>
      </c>
      <c r="F58" s="9">
        <v>68</v>
      </c>
      <c r="G58" s="9">
        <v>67</v>
      </c>
      <c r="H58" s="12">
        <v>69</v>
      </c>
      <c r="I58" s="12">
        <f t="shared" si="3"/>
        <v>68.666666666666671</v>
      </c>
      <c r="J58" s="9" t="str">
        <f t="shared" si="4"/>
        <v>TRUE</v>
      </c>
      <c r="K58" s="12">
        <f t="shared" si="5"/>
        <v>2</v>
      </c>
      <c r="L58" s="37">
        <v>69</v>
      </c>
      <c r="M58" s="38" t="s">
        <v>138</v>
      </c>
    </row>
    <row r="59" spans="1:13" x14ac:dyDescent="0.25">
      <c r="A59" t="s">
        <v>78</v>
      </c>
      <c r="B59" t="s">
        <v>64</v>
      </c>
      <c r="C59" s="9">
        <v>359.3</v>
      </c>
      <c r="D59" s="9">
        <v>69</v>
      </c>
      <c r="E59" s="9">
        <v>68</v>
      </c>
      <c r="F59" s="9">
        <v>68</v>
      </c>
      <c r="G59" s="9">
        <v>67</v>
      </c>
      <c r="H59" s="12">
        <v>68.333333333333329</v>
      </c>
      <c r="I59" s="12">
        <f t="shared" si="3"/>
        <v>67.666666666666671</v>
      </c>
      <c r="J59" s="9" t="str">
        <f t="shared" si="4"/>
        <v>TRUE</v>
      </c>
      <c r="K59" s="12">
        <f t="shared" si="5"/>
        <v>1.3333333333333286</v>
      </c>
      <c r="L59" s="37">
        <v>68.333333333333329</v>
      </c>
      <c r="M59" s="38" t="s">
        <v>138</v>
      </c>
    </row>
    <row r="60" spans="1:13" x14ac:dyDescent="0.25">
      <c r="A60" t="s">
        <v>65</v>
      </c>
      <c r="B60" t="s">
        <v>64</v>
      </c>
      <c r="C60" s="9">
        <v>139.19999999999999</v>
      </c>
      <c r="D60" s="9">
        <v>65</v>
      </c>
      <c r="E60" s="9">
        <v>68</v>
      </c>
      <c r="F60" s="9">
        <v>70</v>
      </c>
      <c r="G60" s="9">
        <v>69</v>
      </c>
      <c r="H60" s="12">
        <v>67.666666666666671</v>
      </c>
      <c r="I60" s="12">
        <f t="shared" si="3"/>
        <v>69</v>
      </c>
      <c r="J60" s="9" t="str">
        <f t="shared" si="4"/>
        <v>FALSE</v>
      </c>
      <c r="K60" s="12">
        <f t="shared" si="5"/>
        <v>-1.3333333333333286</v>
      </c>
      <c r="L60" s="37">
        <v>67.666666666666671</v>
      </c>
      <c r="M60" s="38" t="s">
        <v>138</v>
      </c>
    </row>
    <row r="61" spans="1:13" x14ac:dyDescent="0.25">
      <c r="A61" t="s">
        <v>27</v>
      </c>
      <c r="B61" t="s">
        <v>21</v>
      </c>
      <c r="C61" s="9">
        <v>137</v>
      </c>
      <c r="D61" s="9">
        <v>69</v>
      </c>
      <c r="E61" s="9">
        <v>68</v>
      </c>
      <c r="F61" s="9">
        <v>66</v>
      </c>
      <c r="G61" s="9">
        <v>65</v>
      </c>
      <c r="H61" s="12">
        <v>67.666666666666671</v>
      </c>
      <c r="I61" s="12">
        <f t="shared" si="3"/>
        <v>66.333333333333329</v>
      </c>
      <c r="J61" s="9" t="str">
        <f t="shared" si="4"/>
        <v>TRUE</v>
      </c>
      <c r="K61" s="12">
        <f t="shared" si="5"/>
        <v>2.6666666666666714</v>
      </c>
      <c r="L61" s="37">
        <v>67.666666666666671</v>
      </c>
      <c r="M61" s="38" t="s">
        <v>138</v>
      </c>
    </row>
    <row r="62" spans="1:13" x14ac:dyDescent="0.25">
      <c r="A62" t="s">
        <v>43</v>
      </c>
      <c r="B62" t="s">
        <v>42</v>
      </c>
      <c r="C62" s="9">
        <v>72.099999999999994</v>
      </c>
      <c r="D62" s="9">
        <v>66</v>
      </c>
      <c r="E62" s="9">
        <v>69</v>
      </c>
      <c r="F62" s="9">
        <v>67</v>
      </c>
      <c r="G62" s="9">
        <v>66</v>
      </c>
      <c r="H62" s="12">
        <v>67.333333333333329</v>
      </c>
      <c r="I62" s="12">
        <f t="shared" si="3"/>
        <v>67.333333333333329</v>
      </c>
      <c r="J62" s="9" t="str">
        <f t="shared" si="4"/>
        <v>TRUE</v>
      </c>
      <c r="K62" s="12">
        <f t="shared" si="5"/>
        <v>1.3333333333333286</v>
      </c>
      <c r="L62" s="37">
        <v>67.333333333333329</v>
      </c>
      <c r="M62" s="38" t="s">
        <v>138</v>
      </c>
    </row>
    <row r="63" spans="1:13" x14ac:dyDescent="0.25">
      <c r="A63" t="s">
        <v>100</v>
      </c>
      <c r="B63" t="s">
        <v>86</v>
      </c>
      <c r="C63" s="9">
        <v>283.5</v>
      </c>
      <c r="D63" s="9">
        <v>69</v>
      </c>
      <c r="E63" s="9">
        <v>67</v>
      </c>
      <c r="F63" s="9">
        <v>66</v>
      </c>
      <c r="G63" s="9">
        <v>65</v>
      </c>
      <c r="H63" s="12">
        <v>67.333333333333329</v>
      </c>
      <c r="I63" s="12">
        <f t="shared" si="3"/>
        <v>66</v>
      </c>
      <c r="J63" s="9" t="str">
        <f t="shared" si="4"/>
        <v>TRUE</v>
      </c>
      <c r="K63" s="12">
        <f t="shared" si="5"/>
        <v>2.3333333333333286</v>
      </c>
      <c r="L63" s="37">
        <v>67.333333333333329</v>
      </c>
      <c r="M63" s="38" t="s">
        <v>138</v>
      </c>
    </row>
    <row r="64" spans="1:13" x14ac:dyDescent="0.25">
      <c r="A64" t="s">
        <v>46</v>
      </c>
      <c r="B64" t="s">
        <v>42</v>
      </c>
      <c r="C64" s="9">
        <v>851.7</v>
      </c>
      <c r="D64" s="9">
        <v>66</v>
      </c>
      <c r="E64" s="9">
        <v>67</v>
      </c>
      <c r="F64" s="9">
        <v>68</v>
      </c>
      <c r="G64" s="9">
        <v>67</v>
      </c>
      <c r="H64" s="12">
        <v>67</v>
      </c>
      <c r="I64" s="12">
        <f t="shared" si="3"/>
        <v>67.333333333333329</v>
      </c>
      <c r="J64" s="9" t="str">
        <f t="shared" si="4"/>
        <v>FALSE</v>
      </c>
      <c r="K64" s="12">
        <f t="shared" si="5"/>
        <v>0</v>
      </c>
      <c r="L64" s="37">
        <v>67</v>
      </c>
      <c r="M64" s="38" t="s">
        <v>138</v>
      </c>
    </row>
    <row r="65" spans="1:13" x14ac:dyDescent="0.25">
      <c r="A65" t="s">
        <v>19</v>
      </c>
      <c r="B65" t="s">
        <v>5</v>
      </c>
      <c r="C65" s="9">
        <v>329.9</v>
      </c>
      <c r="D65" s="9">
        <v>69</v>
      </c>
      <c r="E65" s="9">
        <v>67</v>
      </c>
      <c r="F65" s="9">
        <v>65</v>
      </c>
      <c r="G65" s="9">
        <v>64</v>
      </c>
      <c r="H65" s="12">
        <v>67</v>
      </c>
      <c r="I65" s="12">
        <f t="shared" si="3"/>
        <v>65.333333333333329</v>
      </c>
      <c r="J65" s="9" t="str">
        <f t="shared" si="4"/>
        <v>TRUE</v>
      </c>
      <c r="K65" s="12">
        <f t="shared" si="5"/>
        <v>3</v>
      </c>
      <c r="L65" s="37">
        <v>67</v>
      </c>
      <c r="M65" s="38" t="s">
        <v>138</v>
      </c>
    </row>
    <row r="66" spans="1:13" x14ac:dyDescent="0.25">
      <c r="A66" t="s">
        <v>95</v>
      </c>
      <c r="B66" t="s">
        <v>86</v>
      </c>
      <c r="C66" s="9">
        <v>353.3</v>
      </c>
      <c r="D66" s="9">
        <v>68</v>
      </c>
      <c r="E66" s="9">
        <v>67</v>
      </c>
      <c r="F66" s="9">
        <v>65</v>
      </c>
      <c r="G66" s="9">
        <v>64</v>
      </c>
      <c r="H66" s="12">
        <v>66.666666666666671</v>
      </c>
      <c r="I66" s="12">
        <f t="shared" ref="I66:I97" si="6">AVERAGE($E66:$G66)</f>
        <v>65.333333333333329</v>
      </c>
      <c r="J66" s="9" t="str">
        <f t="shared" ref="J66:J97" si="7">IF($H66&gt;$G66,"TRUE","FALSE")</f>
        <v>TRUE</v>
      </c>
      <c r="K66" s="12">
        <f t="shared" ref="K66:K97" si="8">$H66-$G66</f>
        <v>2.6666666666666714</v>
      </c>
      <c r="L66" s="37">
        <v>66.666666666666671</v>
      </c>
      <c r="M66" s="38" t="s">
        <v>138</v>
      </c>
    </row>
    <row r="67" spans="1:13" x14ac:dyDescent="0.25">
      <c r="A67" t="s">
        <v>85</v>
      </c>
      <c r="B67" t="s">
        <v>86</v>
      </c>
      <c r="C67" s="9">
        <v>218.5</v>
      </c>
      <c r="D67" s="9">
        <v>69</v>
      </c>
      <c r="E67" s="9">
        <v>66</v>
      </c>
      <c r="F67" s="9">
        <v>64</v>
      </c>
      <c r="G67" s="9">
        <v>63</v>
      </c>
      <c r="H67" s="12">
        <v>66.333333333333329</v>
      </c>
      <c r="I67" s="12">
        <f t="shared" si="6"/>
        <v>64.333333333333329</v>
      </c>
      <c r="J67" s="9" t="str">
        <f t="shared" si="7"/>
        <v>TRUE</v>
      </c>
      <c r="K67" s="12">
        <f t="shared" si="8"/>
        <v>3.3333333333333286</v>
      </c>
      <c r="L67" s="37">
        <v>66.333333333333329</v>
      </c>
      <c r="M67" s="38" t="s">
        <v>138</v>
      </c>
    </row>
    <row r="68" spans="1:13" x14ac:dyDescent="0.25">
      <c r="A68" t="s">
        <v>99</v>
      </c>
      <c r="B68" t="s">
        <v>86</v>
      </c>
      <c r="C68" s="45">
        <v>1424.3</v>
      </c>
      <c r="D68" s="9">
        <v>66</v>
      </c>
      <c r="E68" s="9">
        <v>65</v>
      </c>
      <c r="F68" s="9">
        <v>67</v>
      </c>
      <c r="G68" s="9">
        <v>71</v>
      </c>
      <c r="H68" s="12">
        <v>66</v>
      </c>
      <c r="I68" s="12">
        <f t="shared" si="6"/>
        <v>67.666666666666671</v>
      </c>
      <c r="J68" s="9" t="str">
        <f t="shared" si="7"/>
        <v>FALSE</v>
      </c>
      <c r="K68" s="12">
        <f t="shared" si="8"/>
        <v>-5</v>
      </c>
      <c r="L68" s="37">
        <v>66</v>
      </c>
      <c r="M68" s="38" t="s">
        <v>138</v>
      </c>
    </row>
    <row r="69" spans="1:13" x14ac:dyDescent="0.25">
      <c r="A69" t="s">
        <v>4</v>
      </c>
      <c r="B69" t="s">
        <v>5</v>
      </c>
      <c r="C69" s="9">
        <v>308.5</v>
      </c>
      <c r="D69" s="9">
        <v>67</v>
      </c>
      <c r="E69" s="9">
        <v>65</v>
      </c>
      <c r="F69" s="9">
        <v>64</v>
      </c>
      <c r="G69" s="9">
        <v>63</v>
      </c>
      <c r="H69" s="12">
        <v>65.333333333333329</v>
      </c>
      <c r="I69" s="12">
        <f t="shared" si="6"/>
        <v>64</v>
      </c>
      <c r="J69" s="9" t="str">
        <f t="shared" si="7"/>
        <v>TRUE</v>
      </c>
      <c r="K69" s="12">
        <f t="shared" si="8"/>
        <v>2.3333333333333286</v>
      </c>
      <c r="L69" s="37">
        <v>65.333333333333329</v>
      </c>
      <c r="M69" s="38" t="s">
        <v>138</v>
      </c>
    </row>
    <row r="70" spans="1:13" x14ac:dyDescent="0.25">
      <c r="A70" t="s">
        <v>116</v>
      </c>
      <c r="B70" t="s">
        <v>112</v>
      </c>
      <c r="C70" s="9">
        <v>222.1</v>
      </c>
      <c r="D70" s="9">
        <v>66</v>
      </c>
      <c r="E70" s="9">
        <v>66</v>
      </c>
      <c r="F70" s="9">
        <v>64</v>
      </c>
      <c r="G70" s="9">
        <v>63</v>
      </c>
      <c r="H70" s="12">
        <v>65.333333333333329</v>
      </c>
      <c r="I70" s="12">
        <f t="shared" si="6"/>
        <v>64.333333333333329</v>
      </c>
      <c r="J70" s="9" t="str">
        <f t="shared" si="7"/>
        <v>TRUE</v>
      </c>
      <c r="K70" s="12">
        <f t="shared" si="8"/>
        <v>2.3333333333333286</v>
      </c>
      <c r="L70" s="37">
        <v>65.333333333333329</v>
      </c>
      <c r="M70" s="38" t="s">
        <v>138</v>
      </c>
    </row>
    <row r="71" spans="1:13" x14ac:dyDescent="0.25">
      <c r="A71" t="s">
        <v>38</v>
      </c>
      <c r="B71" t="s">
        <v>21</v>
      </c>
      <c r="C71" s="9">
        <v>104.2</v>
      </c>
      <c r="D71" s="9">
        <v>67</v>
      </c>
      <c r="E71" s="9">
        <v>65</v>
      </c>
      <c r="F71" s="9">
        <v>64</v>
      </c>
      <c r="G71" s="9">
        <v>63</v>
      </c>
      <c r="H71" s="12">
        <v>65.333333333333329</v>
      </c>
      <c r="I71" s="12">
        <f t="shared" si="6"/>
        <v>64</v>
      </c>
      <c r="J71" s="9" t="str">
        <f t="shared" si="7"/>
        <v>TRUE</v>
      </c>
      <c r="K71" s="12">
        <f t="shared" si="8"/>
        <v>2.3333333333333286</v>
      </c>
      <c r="L71" s="37">
        <v>65.333333333333329</v>
      </c>
      <c r="M71" s="38" t="s">
        <v>138</v>
      </c>
    </row>
    <row r="72" spans="1:13" x14ac:dyDescent="0.25">
      <c r="A72" t="s">
        <v>104</v>
      </c>
      <c r="B72" t="s">
        <v>103</v>
      </c>
      <c r="C72" s="9">
        <v>158.19999999999999</v>
      </c>
      <c r="D72" s="9">
        <v>63</v>
      </c>
      <c r="E72" s="9">
        <v>67</v>
      </c>
      <c r="F72" s="9">
        <v>64</v>
      </c>
      <c r="G72" s="9">
        <v>63</v>
      </c>
      <c r="H72" s="12">
        <v>64.666666666666671</v>
      </c>
      <c r="I72" s="12">
        <f t="shared" si="6"/>
        <v>64.666666666666671</v>
      </c>
      <c r="J72" s="9" t="str">
        <f t="shared" si="7"/>
        <v>TRUE</v>
      </c>
      <c r="K72" s="12">
        <f t="shared" si="8"/>
        <v>1.6666666666666714</v>
      </c>
      <c r="L72" s="37">
        <v>64.666666666666671</v>
      </c>
      <c r="M72" s="38" t="s">
        <v>138</v>
      </c>
    </row>
    <row r="73" spans="1:13" x14ac:dyDescent="0.25">
      <c r="A73" t="s">
        <v>72</v>
      </c>
      <c r="B73" t="s">
        <v>64</v>
      </c>
      <c r="C73" s="9">
        <v>55.4</v>
      </c>
      <c r="D73" s="9">
        <v>66</v>
      </c>
      <c r="E73" s="9">
        <v>64</v>
      </c>
      <c r="F73" s="9">
        <v>63</v>
      </c>
      <c r="G73" s="9">
        <v>62</v>
      </c>
      <c r="H73" s="12">
        <v>64.333333333333329</v>
      </c>
      <c r="I73" s="12">
        <f t="shared" si="6"/>
        <v>63</v>
      </c>
      <c r="J73" s="9" t="str">
        <f t="shared" si="7"/>
        <v>TRUE</v>
      </c>
      <c r="K73" s="12">
        <f t="shared" si="8"/>
        <v>2.3333333333333286</v>
      </c>
      <c r="L73" s="37">
        <v>64.333333333333329</v>
      </c>
      <c r="M73" s="38" t="s">
        <v>138</v>
      </c>
    </row>
    <row r="74" spans="1:13" x14ac:dyDescent="0.25">
      <c r="A74" t="s">
        <v>105</v>
      </c>
      <c r="B74" t="s">
        <v>103</v>
      </c>
      <c r="C74" s="9">
        <v>793</v>
      </c>
      <c r="D74" s="9">
        <v>64</v>
      </c>
      <c r="E74" s="9">
        <v>65</v>
      </c>
      <c r="F74" s="9">
        <v>63</v>
      </c>
      <c r="G74" s="9">
        <v>61</v>
      </c>
      <c r="H74" s="12">
        <v>64</v>
      </c>
      <c r="I74" s="12">
        <f t="shared" si="6"/>
        <v>63</v>
      </c>
      <c r="J74" s="9" t="str">
        <f t="shared" si="7"/>
        <v>TRUE</v>
      </c>
      <c r="K74" s="12">
        <f t="shared" si="8"/>
        <v>3</v>
      </c>
      <c r="L74" s="37">
        <v>64</v>
      </c>
      <c r="M74" s="38" t="s">
        <v>138</v>
      </c>
    </row>
    <row r="75" spans="1:13" x14ac:dyDescent="0.25">
      <c r="A75" t="s">
        <v>48</v>
      </c>
      <c r="B75" t="s">
        <v>42</v>
      </c>
      <c r="C75" s="9">
        <v>319.8</v>
      </c>
      <c r="D75" s="9">
        <v>65</v>
      </c>
      <c r="E75" s="9">
        <v>63</v>
      </c>
      <c r="F75" s="9">
        <v>62</v>
      </c>
      <c r="G75" s="9">
        <v>60</v>
      </c>
      <c r="H75" s="12">
        <v>63.333333333333336</v>
      </c>
      <c r="I75" s="12">
        <f t="shared" si="6"/>
        <v>61.666666666666664</v>
      </c>
      <c r="J75" s="9" t="str">
        <f t="shared" si="7"/>
        <v>TRUE</v>
      </c>
      <c r="K75" s="12">
        <f t="shared" si="8"/>
        <v>3.3333333333333357</v>
      </c>
      <c r="L75" s="37">
        <v>63.333333333333336</v>
      </c>
      <c r="M75" s="38" t="s">
        <v>138</v>
      </c>
    </row>
    <row r="76" spans="1:13" x14ac:dyDescent="0.25">
      <c r="A76" t="s">
        <v>119</v>
      </c>
      <c r="B76" t="s">
        <v>112</v>
      </c>
      <c r="C76" s="9">
        <v>68.400000000000006</v>
      </c>
      <c r="D76" s="9">
        <v>68</v>
      </c>
      <c r="E76" s="9">
        <v>62</v>
      </c>
      <c r="F76" s="9">
        <v>60</v>
      </c>
      <c r="G76" s="9">
        <v>59</v>
      </c>
      <c r="H76" s="12">
        <v>63.333333333333336</v>
      </c>
      <c r="I76" s="12">
        <f t="shared" si="6"/>
        <v>60.333333333333336</v>
      </c>
      <c r="J76" s="9" t="str">
        <f t="shared" si="7"/>
        <v>TRUE</v>
      </c>
      <c r="K76" s="12">
        <f t="shared" si="8"/>
        <v>4.3333333333333357</v>
      </c>
      <c r="L76" s="37">
        <v>63.333333333333336</v>
      </c>
      <c r="M76" s="38" t="s">
        <v>138</v>
      </c>
    </row>
    <row r="77" spans="1:13" x14ac:dyDescent="0.25">
      <c r="A77" t="s">
        <v>20</v>
      </c>
      <c r="B77" t="s">
        <v>21</v>
      </c>
      <c r="C77" s="9">
        <v>683.2</v>
      </c>
      <c r="D77" s="9">
        <v>65</v>
      </c>
      <c r="E77" s="9">
        <v>63</v>
      </c>
      <c r="F77" s="9">
        <v>61</v>
      </c>
      <c r="G77" s="9">
        <v>60</v>
      </c>
      <c r="H77" s="12">
        <v>63</v>
      </c>
      <c r="I77" s="12">
        <f t="shared" si="6"/>
        <v>61.333333333333336</v>
      </c>
      <c r="J77" s="9" t="str">
        <f t="shared" si="7"/>
        <v>TRUE</v>
      </c>
      <c r="K77" s="12">
        <f t="shared" si="8"/>
        <v>3</v>
      </c>
      <c r="L77" s="37">
        <v>63</v>
      </c>
      <c r="M77" s="38" t="s">
        <v>138</v>
      </c>
    </row>
    <row r="78" spans="1:13" x14ac:dyDescent="0.25">
      <c r="A78" t="s">
        <v>88</v>
      </c>
      <c r="B78" t="s">
        <v>86</v>
      </c>
      <c r="C78" s="9">
        <v>274.10000000000002</v>
      </c>
      <c r="D78" s="9">
        <v>61</v>
      </c>
      <c r="E78" s="9">
        <v>64</v>
      </c>
      <c r="F78" s="9">
        <v>64</v>
      </c>
      <c r="G78" s="9">
        <v>62</v>
      </c>
      <c r="H78" s="12">
        <v>63</v>
      </c>
      <c r="I78" s="12">
        <f t="shared" si="6"/>
        <v>63.333333333333336</v>
      </c>
      <c r="J78" s="9" t="str">
        <f t="shared" si="7"/>
        <v>TRUE</v>
      </c>
      <c r="K78" s="12">
        <f t="shared" si="8"/>
        <v>1</v>
      </c>
      <c r="L78" s="37">
        <v>63</v>
      </c>
      <c r="M78" s="38" t="s">
        <v>138</v>
      </c>
    </row>
    <row r="79" spans="1:13" x14ac:dyDescent="0.25">
      <c r="A79" t="s">
        <v>58</v>
      </c>
      <c r="B79" t="s">
        <v>55</v>
      </c>
      <c r="C79" s="9">
        <v>498.7</v>
      </c>
      <c r="D79" s="9">
        <v>62</v>
      </c>
      <c r="E79" s="9">
        <v>61</v>
      </c>
      <c r="F79" s="9">
        <v>65</v>
      </c>
      <c r="G79" s="9">
        <v>64</v>
      </c>
      <c r="H79" s="12">
        <v>62.666666666666664</v>
      </c>
      <c r="I79" s="12">
        <f t="shared" si="6"/>
        <v>63.333333333333336</v>
      </c>
      <c r="J79" s="9" t="str">
        <f t="shared" si="7"/>
        <v>FALSE</v>
      </c>
      <c r="K79" s="12">
        <f t="shared" si="8"/>
        <v>-1.3333333333333357</v>
      </c>
      <c r="L79" s="37">
        <v>62.666666666666664</v>
      </c>
      <c r="M79" s="38" t="s">
        <v>138</v>
      </c>
    </row>
    <row r="80" spans="1:13" x14ac:dyDescent="0.25">
      <c r="A80" t="s">
        <v>79</v>
      </c>
      <c r="B80" t="s">
        <v>64</v>
      </c>
      <c r="C80" s="9">
        <v>180.5</v>
      </c>
      <c r="D80" s="9">
        <v>61</v>
      </c>
      <c r="E80" s="9">
        <v>63</v>
      </c>
      <c r="F80" s="9">
        <v>63</v>
      </c>
      <c r="G80" s="9">
        <v>65</v>
      </c>
      <c r="H80" s="12">
        <v>62.333333333333336</v>
      </c>
      <c r="I80" s="12">
        <f t="shared" si="6"/>
        <v>63.666666666666664</v>
      </c>
      <c r="J80" s="9" t="str">
        <f t="shared" si="7"/>
        <v>FALSE</v>
      </c>
      <c r="K80" s="12">
        <f t="shared" si="8"/>
        <v>-2.6666666666666643</v>
      </c>
      <c r="L80" s="37">
        <v>62.333333333333336</v>
      </c>
      <c r="M80" s="38" t="s">
        <v>138</v>
      </c>
    </row>
    <row r="81" spans="1:13" x14ac:dyDescent="0.25">
      <c r="A81" t="s">
        <v>28</v>
      </c>
      <c r="B81" t="s">
        <v>21</v>
      </c>
      <c r="C81" s="9">
        <v>124.6</v>
      </c>
      <c r="D81" s="9">
        <v>64</v>
      </c>
      <c r="E81" s="9">
        <v>62</v>
      </c>
      <c r="F81" s="9">
        <v>60</v>
      </c>
      <c r="G81" s="9">
        <v>59</v>
      </c>
      <c r="H81" s="12">
        <v>62</v>
      </c>
      <c r="I81" s="12">
        <f t="shared" si="6"/>
        <v>60.333333333333336</v>
      </c>
      <c r="J81" s="9" t="str">
        <f t="shared" si="7"/>
        <v>TRUE</v>
      </c>
      <c r="K81" s="12">
        <f t="shared" si="8"/>
        <v>3</v>
      </c>
      <c r="L81" s="37">
        <v>62</v>
      </c>
      <c r="M81" s="38" t="s">
        <v>138</v>
      </c>
    </row>
    <row r="82" spans="1:13" x14ac:dyDescent="0.25">
      <c r="A82" t="s">
        <v>16</v>
      </c>
      <c r="B82" t="s">
        <v>5</v>
      </c>
      <c r="C82" s="9">
        <v>78.400000000000006</v>
      </c>
      <c r="D82" s="9">
        <v>64</v>
      </c>
      <c r="E82" s="9">
        <v>62</v>
      </c>
      <c r="F82" s="9">
        <v>60</v>
      </c>
      <c r="G82" s="9">
        <v>59</v>
      </c>
      <c r="H82" s="12">
        <v>62</v>
      </c>
      <c r="I82" s="12">
        <f t="shared" si="6"/>
        <v>60.333333333333336</v>
      </c>
      <c r="J82" s="9" t="str">
        <f t="shared" si="7"/>
        <v>TRUE</v>
      </c>
      <c r="K82" s="12">
        <f t="shared" si="8"/>
        <v>3</v>
      </c>
      <c r="L82" s="37">
        <v>62</v>
      </c>
      <c r="M82" s="38" t="s">
        <v>138</v>
      </c>
    </row>
    <row r="83" spans="1:13" x14ac:dyDescent="0.25">
      <c r="A83" t="s">
        <v>51</v>
      </c>
      <c r="B83" t="s">
        <v>42</v>
      </c>
      <c r="C83" s="9">
        <v>332.2</v>
      </c>
      <c r="D83" s="9">
        <v>62</v>
      </c>
      <c r="E83" s="9">
        <v>61</v>
      </c>
      <c r="F83" s="9">
        <v>60</v>
      </c>
      <c r="G83" s="9">
        <v>59</v>
      </c>
      <c r="H83" s="12">
        <v>61</v>
      </c>
      <c r="I83" s="12">
        <f t="shared" si="6"/>
        <v>60</v>
      </c>
      <c r="J83" s="9" t="str">
        <f t="shared" si="7"/>
        <v>TRUE</v>
      </c>
      <c r="K83" s="12">
        <f t="shared" si="8"/>
        <v>2</v>
      </c>
      <c r="L83" s="37">
        <v>61</v>
      </c>
      <c r="M83" s="38" t="s">
        <v>138</v>
      </c>
    </row>
    <row r="84" spans="1:13" x14ac:dyDescent="0.25">
      <c r="A84" t="s">
        <v>117</v>
      </c>
      <c r="B84" t="s">
        <v>112</v>
      </c>
      <c r="C84" s="45">
        <v>1137.3</v>
      </c>
      <c r="D84" s="9">
        <v>61</v>
      </c>
      <c r="E84" s="9">
        <v>60</v>
      </c>
      <c r="F84" s="9">
        <v>61</v>
      </c>
      <c r="G84" s="9">
        <v>62</v>
      </c>
      <c r="H84" s="12">
        <v>60.666666666666664</v>
      </c>
      <c r="I84" s="12">
        <f t="shared" si="6"/>
        <v>61</v>
      </c>
      <c r="J84" s="9" t="str">
        <f t="shared" si="7"/>
        <v>FALSE</v>
      </c>
      <c r="K84" s="12">
        <f t="shared" si="8"/>
        <v>-1.3333333333333357</v>
      </c>
      <c r="L84" s="37">
        <v>60.666666666666664</v>
      </c>
      <c r="M84" s="38" t="s">
        <v>138</v>
      </c>
    </row>
    <row r="85" spans="1:13" x14ac:dyDescent="0.25">
      <c r="A85" t="s">
        <v>70</v>
      </c>
      <c r="B85" t="s">
        <v>64</v>
      </c>
      <c r="C85" s="9">
        <v>82.6</v>
      </c>
      <c r="D85" s="9">
        <v>61</v>
      </c>
      <c r="E85" s="9">
        <v>60</v>
      </c>
      <c r="F85" s="9">
        <v>58</v>
      </c>
      <c r="G85" s="9">
        <v>57</v>
      </c>
      <c r="H85" s="12">
        <v>59.666666666666664</v>
      </c>
      <c r="I85" s="12">
        <f t="shared" si="6"/>
        <v>58.333333333333336</v>
      </c>
      <c r="J85" s="9" t="str">
        <f t="shared" si="7"/>
        <v>TRUE</v>
      </c>
      <c r="K85" s="12">
        <f t="shared" si="8"/>
        <v>2.6666666666666643</v>
      </c>
      <c r="L85" s="37">
        <v>59.666666666666664</v>
      </c>
      <c r="M85" s="38" t="s">
        <v>138</v>
      </c>
    </row>
    <row r="86" spans="1:13" x14ac:dyDescent="0.25">
      <c r="A86" t="s">
        <v>106</v>
      </c>
      <c r="B86" t="s">
        <v>103</v>
      </c>
      <c r="C86" s="9">
        <v>54.7</v>
      </c>
      <c r="D86" s="9">
        <v>61</v>
      </c>
      <c r="E86" s="9">
        <v>59</v>
      </c>
      <c r="F86" s="9">
        <v>59</v>
      </c>
      <c r="G86" s="9">
        <v>57</v>
      </c>
      <c r="H86" s="12">
        <v>59.666666666666664</v>
      </c>
      <c r="I86" s="12">
        <f t="shared" si="6"/>
        <v>58.333333333333336</v>
      </c>
      <c r="J86" s="9" t="str">
        <f t="shared" si="7"/>
        <v>TRUE</v>
      </c>
      <c r="K86" s="12">
        <f t="shared" si="8"/>
        <v>2.6666666666666643</v>
      </c>
      <c r="L86" s="37">
        <v>59.666666666666664</v>
      </c>
      <c r="M86" s="38" t="s">
        <v>138</v>
      </c>
    </row>
    <row r="87" spans="1:13" x14ac:dyDescent="0.25">
      <c r="A87" t="s">
        <v>35</v>
      </c>
      <c r="B87" t="s">
        <v>21</v>
      </c>
      <c r="C87" s="9">
        <v>354.4</v>
      </c>
      <c r="D87" s="9">
        <v>59</v>
      </c>
      <c r="E87" s="9">
        <v>59</v>
      </c>
      <c r="F87" s="9">
        <v>60</v>
      </c>
      <c r="G87" s="9">
        <v>59</v>
      </c>
      <c r="H87" s="12">
        <v>59.333333333333336</v>
      </c>
      <c r="I87" s="12">
        <f t="shared" si="6"/>
        <v>59.333333333333336</v>
      </c>
      <c r="J87" s="9" t="str">
        <f t="shared" si="7"/>
        <v>TRUE</v>
      </c>
      <c r="K87" s="12">
        <f t="shared" si="8"/>
        <v>0.3333333333333357</v>
      </c>
      <c r="L87" s="37">
        <v>59.333333333333336</v>
      </c>
      <c r="M87" s="38" t="s">
        <v>139</v>
      </c>
    </row>
    <row r="88" spans="1:13" x14ac:dyDescent="0.25">
      <c r="A88" t="s">
        <v>37</v>
      </c>
      <c r="B88" t="s">
        <v>21</v>
      </c>
      <c r="C88" s="9">
        <v>580.4</v>
      </c>
      <c r="D88" s="9">
        <v>57</v>
      </c>
      <c r="E88" s="9">
        <v>61</v>
      </c>
      <c r="F88" s="9">
        <v>60</v>
      </c>
      <c r="G88" s="9">
        <v>59</v>
      </c>
      <c r="H88" s="12">
        <v>59.333333333333336</v>
      </c>
      <c r="I88" s="12">
        <f t="shared" si="6"/>
        <v>60</v>
      </c>
      <c r="J88" s="9" t="str">
        <f t="shared" si="7"/>
        <v>TRUE</v>
      </c>
      <c r="K88" s="12">
        <f t="shared" si="8"/>
        <v>0.3333333333333357</v>
      </c>
      <c r="L88" s="37">
        <v>59.333333333333336</v>
      </c>
      <c r="M88" s="38" t="s">
        <v>139</v>
      </c>
    </row>
    <row r="89" spans="1:13" x14ac:dyDescent="0.25">
      <c r="A89" t="s">
        <v>7</v>
      </c>
      <c r="B89" t="s">
        <v>5</v>
      </c>
      <c r="C89" s="9">
        <v>62.6</v>
      </c>
      <c r="D89" s="9">
        <v>59</v>
      </c>
      <c r="E89" s="9">
        <v>58</v>
      </c>
      <c r="F89" s="9">
        <v>59</v>
      </c>
      <c r="G89" s="9">
        <v>58</v>
      </c>
      <c r="H89" s="12">
        <v>58.666666666666664</v>
      </c>
      <c r="I89" s="12">
        <f t="shared" si="6"/>
        <v>58.333333333333336</v>
      </c>
      <c r="J89" s="9" t="str">
        <f t="shared" si="7"/>
        <v>TRUE</v>
      </c>
      <c r="K89" s="12">
        <f t="shared" si="8"/>
        <v>0.6666666666666643</v>
      </c>
      <c r="L89" s="37">
        <v>58.666666666666664</v>
      </c>
      <c r="M89" s="38" t="s">
        <v>139</v>
      </c>
    </row>
    <row r="90" spans="1:13" x14ac:dyDescent="0.25">
      <c r="A90" t="s">
        <v>111</v>
      </c>
      <c r="B90" t="s">
        <v>112</v>
      </c>
      <c r="C90" s="9">
        <v>65.099999999999994</v>
      </c>
      <c r="D90" s="9">
        <v>60</v>
      </c>
      <c r="E90" s="9">
        <v>58</v>
      </c>
      <c r="F90" s="9">
        <v>58</v>
      </c>
      <c r="G90" s="9">
        <v>57</v>
      </c>
      <c r="H90" s="12">
        <v>58.666666666666664</v>
      </c>
      <c r="I90" s="12">
        <f t="shared" si="6"/>
        <v>57.666666666666664</v>
      </c>
      <c r="J90" s="9" t="str">
        <f t="shared" si="7"/>
        <v>TRUE</v>
      </c>
      <c r="K90" s="12">
        <f t="shared" si="8"/>
        <v>1.6666666666666643</v>
      </c>
      <c r="L90" s="37">
        <v>58.666666666666664</v>
      </c>
      <c r="M90" s="38" t="s">
        <v>139</v>
      </c>
    </row>
    <row r="91" spans="1:13" x14ac:dyDescent="0.25">
      <c r="A91" t="s">
        <v>54</v>
      </c>
      <c r="B91" t="s">
        <v>55</v>
      </c>
      <c r="C91" s="9">
        <v>113.4</v>
      </c>
      <c r="D91" s="9">
        <v>60</v>
      </c>
      <c r="E91" s="9">
        <v>59</v>
      </c>
      <c r="F91" s="9">
        <v>56</v>
      </c>
      <c r="G91" s="9">
        <v>55</v>
      </c>
      <c r="H91" s="12">
        <v>58.333333333333336</v>
      </c>
      <c r="I91" s="12">
        <f t="shared" si="6"/>
        <v>56.666666666666664</v>
      </c>
      <c r="J91" s="9" t="str">
        <f t="shared" si="7"/>
        <v>TRUE</v>
      </c>
      <c r="K91" s="12">
        <f t="shared" si="8"/>
        <v>3.3333333333333357</v>
      </c>
      <c r="L91" s="37">
        <v>58.333333333333336</v>
      </c>
      <c r="M91" s="38" t="s">
        <v>139</v>
      </c>
    </row>
    <row r="92" spans="1:13" x14ac:dyDescent="0.25">
      <c r="A92" t="s">
        <v>15</v>
      </c>
      <c r="B92" t="s">
        <v>5</v>
      </c>
      <c r="C92" s="45">
        <v>2052.3000000000002</v>
      </c>
      <c r="D92" s="9">
        <v>57</v>
      </c>
      <c r="E92" s="9">
        <v>56</v>
      </c>
      <c r="F92" s="9">
        <v>60</v>
      </c>
      <c r="G92" s="9">
        <v>59</v>
      </c>
      <c r="H92" s="12">
        <v>57.666666666666664</v>
      </c>
      <c r="I92" s="12">
        <f t="shared" si="6"/>
        <v>58.333333333333336</v>
      </c>
      <c r="J92" s="9" t="str">
        <f t="shared" si="7"/>
        <v>FALSE</v>
      </c>
      <c r="K92" s="12">
        <f t="shared" si="8"/>
        <v>-1.3333333333333357</v>
      </c>
      <c r="L92" s="37">
        <v>57.666666666666664</v>
      </c>
      <c r="M92" s="38" t="s">
        <v>139</v>
      </c>
    </row>
    <row r="93" spans="1:13" x14ac:dyDescent="0.25">
      <c r="A93" t="s">
        <v>56</v>
      </c>
      <c r="B93" t="s">
        <v>55</v>
      </c>
      <c r="C93" s="9">
        <v>30.6</v>
      </c>
      <c r="D93" s="9">
        <v>59</v>
      </c>
      <c r="E93" s="9">
        <v>57</v>
      </c>
      <c r="F93" s="9">
        <v>55</v>
      </c>
      <c r="G93" s="9">
        <v>54</v>
      </c>
      <c r="H93" s="12">
        <v>57</v>
      </c>
      <c r="I93" s="12">
        <f t="shared" si="6"/>
        <v>55.333333333333336</v>
      </c>
      <c r="J93" s="9" t="str">
        <f t="shared" si="7"/>
        <v>TRUE</v>
      </c>
      <c r="K93" s="12">
        <f t="shared" si="8"/>
        <v>3</v>
      </c>
      <c r="L93" s="37">
        <v>57</v>
      </c>
      <c r="M93" s="38" t="s">
        <v>139</v>
      </c>
    </row>
    <row r="94" spans="1:13" x14ac:dyDescent="0.25">
      <c r="A94" t="s">
        <v>52</v>
      </c>
      <c r="B94" t="s">
        <v>42</v>
      </c>
      <c r="C94" s="9">
        <v>57.6</v>
      </c>
      <c r="D94" s="9">
        <v>59</v>
      </c>
      <c r="E94" s="9">
        <v>57</v>
      </c>
      <c r="F94" s="9">
        <v>55</v>
      </c>
      <c r="G94" s="9">
        <v>53</v>
      </c>
      <c r="H94" s="12">
        <v>57</v>
      </c>
      <c r="I94" s="12">
        <f t="shared" si="6"/>
        <v>55</v>
      </c>
      <c r="J94" s="9" t="str">
        <f t="shared" si="7"/>
        <v>TRUE</v>
      </c>
      <c r="K94" s="12">
        <f t="shared" si="8"/>
        <v>4</v>
      </c>
      <c r="L94" s="37">
        <v>57</v>
      </c>
      <c r="M94" s="38" t="s">
        <v>139</v>
      </c>
    </row>
    <row r="95" spans="1:13" x14ac:dyDescent="0.25">
      <c r="A95" t="s">
        <v>80</v>
      </c>
      <c r="B95" t="s">
        <v>64</v>
      </c>
      <c r="C95" s="9">
        <v>179.3</v>
      </c>
      <c r="D95" s="9">
        <v>57</v>
      </c>
      <c r="E95" s="9">
        <v>57</v>
      </c>
      <c r="F95" s="9">
        <v>56</v>
      </c>
      <c r="G95" s="9">
        <v>55</v>
      </c>
      <c r="H95" s="12">
        <v>56.666666666666664</v>
      </c>
      <c r="I95" s="12">
        <f t="shared" si="6"/>
        <v>56</v>
      </c>
      <c r="J95" s="9" t="str">
        <f t="shared" si="7"/>
        <v>TRUE</v>
      </c>
      <c r="K95" s="12">
        <f t="shared" si="8"/>
        <v>1.6666666666666643</v>
      </c>
      <c r="L95" s="37">
        <v>56.666666666666664</v>
      </c>
      <c r="M95" s="38" t="s">
        <v>139</v>
      </c>
    </row>
    <row r="96" spans="1:13" x14ac:dyDescent="0.25">
      <c r="A96" t="s">
        <v>18</v>
      </c>
      <c r="B96" t="s">
        <v>5</v>
      </c>
      <c r="C96" s="9">
        <v>393.8</v>
      </c>
      <c r="D96" s="9">
        <v>55</v>
      </c>
      <c r="E96" s="9">
        <v>58</v>
      </c>
      <c r="F96" s="9">
        <v>57</v>
      </c>
      <c r="G96" s="9">
        <v>56</v>
      </c>
      <c r="H96" s="12">
        <v>56.666666666666664</v>
      </c>
      <c r="I96" s="12">
        <f t="shared" si="6"/>
        <v>57</v>
      </c>
      <c r="J96" s="9" t="str">
        <f t="shared" si="7"/>
        <v>TRUE</v>
      </c>
      <c r="K96" s="12">
        <f t="shared" si="8"/>
        <v>0.6666666666666643</v>
      </c>
      <c r="L96" s="37">
        <v>56.666666666666664</v>
      </c>
      <c r="M96" s="38" t="s">
        <v>139</v>
      </c>
    </row>
    <row r="97" spans="1:13" x14ac:dyDescent="0.25">
      <c r="A97" t="s">
        <v>8</v>
      </c>
      <c r="B97" t="s">
        <v>5</v>
      </c>
      <c r="C97" s="9">
        <v>449.6</v>
      </c>
      <c r="D97" s="9">
        <v>56</v>
      </c>
      <c r="E97" s="9">
        <v>55</v>
      </c>
      <c r="F97" s="9">
        <v>57</v>
      </c>
      <c r="G97" s="9">
        <v>56</v>
      </c>
      <c r="H97" s="12">
        <v>56</v>
      </c>
      <c r="I97" s="12">
        <f t="shared" si="6"/>
        <v>56</v>
      </c>
      <c r="J97" s="9" t="str">
        <f t="shared" si="7"/>
        <v>FALSE</v>
      </c>
      <c r="K97" s="12">
        <f t="shared" si="8"/>
        <v>0</v>
      </c>
      <c r="L97" s="37">
        <v>56</v>
      </c>
      <c r="M97" s="38" t="s">
        <v>139</v>
      </c>
    </row>
    <row r="98" spans="1:13" x14ac:dyDescent="0.25">
      <c r="A98" t="s">
        <v>24</v>
      </c>
      <c r="B98" t="s">
        <v>21</v>
      </c>
      <c r="C98" s="9">
        <v>720.7</v>
      </c>
      <c r="D98" s="9">
        <v>55</v>
      </c>
      <c r="E98" s="9">
        <v>55</v>
      </c>
      <c r="F98" s="9">
        <v>56</v>
      </c>
      <c r="G98" s="9">
        <v>54</v>
      </c>
      <c r="H98" s="12">
        <v>55.333333333333336</v>
      </c>
      <c r="I98" s="12">
        <f t="shared" ref="I98:I110" si="9">AVERAGE($E98:$G98)</f>
        <v>55</v>
      </c>
      <c r="J98" s="9" t="str">
        <f t="shared" ref="J98:J110" si="10">IF($H98&gt;$G98,"TRUE","FALSE")</f>
        <v>TRUE</v>
      </c>
      <c r="K98" s="12">
        <f t="shared" ref="K98:K110" si="11">$H98-$G98</f>
        <v>1.3333333333333357</v>
      </c>
      <c r="L98" s="37">
        <v>55.333333333333336</v>
      </c>
      <c r="M98" s="38" t="s">
        <v>139</v>
      </c>
    </row>
    <row r="99" spans="1:13" x14ac:dyDescent="0.25">
      <c r="A99" t="s">
        <v>34</v>
      </c>
      <c r="B99" t="s">
        <v>21</v>
      </c>
      <c r="C99" s="9">
        <v>118.5</v>
      </c>
      <c r="D99" s="9">
        <v>55</v>
      </c>
      <c r="E99" s="9">
        <v>56</v>
      </c>
      <c r="F99" s="9">
        <v>53</v>
      </c>
      <c r="G99" s="9">
        <v>52</v>
      </c>
      <c r="H99" s="12">
        <v>54.666666666666664</v>
      </c>
      <c r="I99" s="12">
        <f t="shared" si="9"/>
        <v>53.666666666666664</v>
      </c>
      <c r="J99" s="9" t="str">
        <f t="shared" si="10"/>
        <v>TRUE</v>
      </c>
      <c r="K99" s="12">
        <f t="shared" si="11"/>
        <v>2.6666666666666643</v>
      </c>
      <c r="L99" s="37">
        <v>54.666666666666664</v>
      </c>
      <c r="M99" s="38" t="s">
        <v>139</v>
      </c>
    </row>
    <row r="100" spans="1:13" x14ac:dyDescent="0.25">
      <c r="A100" t="s">
        <v>57</v>
      </c>
      <c r="B100" t="s">
        <v>55</v>
      </c>
      <c r="C100" s="9">
        <v>50.7</v>
      </c>
      <c r="D100" s="9">
        <v>48</v>
      </c>
      <c r="E100" s="9">
        <v>52</v>
      </c>
      <c r="F100" s="9">
        <v>63</v>
      </c>
      <c r="G100" s="9">
        <v>61</v>
      </c>
      <c r="H100" s="12">
        <v>54.333333333333336</v>
      </c>
      <c r="I100" s="12">
        <f t="shared" si="9"/>
        <v>58.666666666666664</v>
      </c>
      <c r="J100" s="9" t="str">
        <f t="shared" si="10"/>
        <v>FALSE</v>
      </c>
      <c r="K100" s="12">
        <f t="shared" si="11"/>
        <v>-6.6666666666666643</v>
      </c>
      <c r="L100" s="37">
        <v>54.333333333333336</v>
      </c>
      <c r="M100" s="38" t="s">
        <v>139</v>
      </c>
    </row>
    <row r="101" spans="1:13" x14ac:dyDescent="0.25">
      <c r="A101" t="s">
        <v>118</v>
      </c>
      <c r="B101" t="s">
        <v>112</v>
      </c>
      <c r="C101" s="9">
        <v>47.5</v>
      </c>
      <c r="D101" s="9">
        <v>55</v>
      </c>
      <c r="E101" s="9">
        <v>52</v>
      </c>
      <c r="F101" s="9">
        <v>55</v>
      </c>
      <c r="G101" s="9">
        <v>54</v>
      </c>
      <c r="H101" s="12">
        <v>54</v>
      </c>
      <c r="I101" s="12">
        <f t="shared" si="9"/>
        <v>53.666666666666664</v>
      </c>
      <c r="J101" s="9" t="str">
        <f t="shared" si="10"/>
        <v>FALSE</v>
      </c>
      <c r="K101" s="12">
        <f t="shared" si="11"/>
        <v>0</v>
      </c>
      <c r="L101" s="37">
        <v>54</v>
      </c>
      <c r="M101" s="38" t="s">
        <v>139</v>
      </c>
    </row>
    <row r="102" spans="1:13" x14ac:dyDescent="0.25">
      <c r="A102" t="s">
        <v>120</v>
      </c>
      <c r="B102" t="s">
        <v>112</v>
      </c>
      <c r="C102" s="45">
        <v>2698.5</v>
      </c>
      <c r="D102" s="9">
        <v>53</v>
      </c>
      <c r="E102" s="9">
        <v>55</v>
      </c>
      <c r="F102" s="9">
        <v>54</v>
      </c>
      <c r="G102" s="9">
        <v>52</v>
      </c>
      <c r="H102" s="12">
        <v>54</v>
      </c>
      <c r="I102" s="12">
        <f t="shared" si="9"/>
        <v>53.666666666666664</v>
      </c>
      <c r="J102" s="9" t="str">
        <f t="shared" si="10"/>
        <v>TRUE</v>
      </c>
      <c r="K102" s="12">
        <f t="shared" si="11"/>
        <v>2</v>
      </c>
      <c r="L102" s="37">
        <v>54</v>
      </c>
      <c r="M102" s="38" t="s">
        <v>139</v>
      </c>
    </row>
    <row r="103" spans="1:13" x14ac:dyDescent="0.25">
      <c r="A103" t="s">
        <v>102</v>
      </c>
      <c r="B103" t="s">
        <v>103</v>
      </c>
      <c r="C103" s="9">
        <v>197.7</v>
      </c>
      <c r="D103" s="9">
        <v>52</v>
      </c>
      <c r="E103" s="9">
        <v>55</v>
      </c>
      <c r="F103" s="9">
        <v>53</v>
      </c>
      <c r="G103" s="9">
        <v>52</v>
      </c>
      <c r="H103" s="12">
        <v>53.333333333333336</v>
      </c>
      <c r="I103" s="12">
        <f t="shared" si="9"/>
        <v>53.333333333333336</v>
      </c>
      <c r="J103" s="9" t="str">
        <f t="shared" si="10"/>
        <v>TRUE</v>
      </c>
      <c r="K103" s="12">
        <f t="shared" si="11"/>
        <v>1.3333333333333357</v>
      </c>
      <c r="L103" s="37">
        <v>53.333333333333336</v>
      </c>
      <c r="M103" s="38" t="s">
        <v>139</v>
      </c>
    </row>
    <row r="104" spans="1:13" x14ac:dyDescent="0.25">
      <c r="A104" t="s">
        <v>44</v>
      </c>
      <c r="B104" t="s">
        <v>42</v>
      </c>
      <c r="C104" s="9">
        <v>54.7</v>
      </c>
      <c r="D104" s="9">
        <v>55</v>
      </c>
      <c r="E104" s="9">
        <v>53</v>
      </c>
      <c r="F104" s="9">
        <v>52</v>
      </c>
      <c r="G104" s="9">
        <v>51</v>
      </c>
      <c r="H104" s="12">
        <v>53.333333333333336</v>
      </c>
      <c r="I104" s="12">
        <f t="shared" si="9"/>
        <v>52</v>
      </c>
      <c r="J104" s="9" t="str">
        <f t="shared" si="10"/>
        <v>TRUE</v>
      </c>
      <c r="K104" s="12">
        <f t="shared" si="11"/>
        <v>2.3333333333333357</v>
      </c>
      <c r="L104" s="37">
        <v>53.333333333333336</v>
      </c>
      <c r="M104" s="38" t="s">
        <v>139</v>
      </c>
    </row>
    <row r="105" spans="1:13" x14ac:dyDescent="0.25">
      <c r="A105" t="s">
        <v>108</v>
      </c>
      <c r="B105" t="s">
        <v>103</v>
      </c>
      <c r="C105" s="9">
        <v>153.6</v>
      </c>
      <c r="D105" s="9">
        <v>52</v>
      </c>
      <c r="E105" s="9">
        <v>55</v>
      </c>
      <c r="F105" s="9">
        <v>52</v>
      </c>
      <c r="G105" s="9">
        <v>50</v>
      </c>
      <c r="H105" s="12">
        <v>53</v>
      </c>
      <c r="I105" s="12">
        <f t="shared" si="9"/>
        <v>52.333333333333336</v>
      </c>
      <c r="J105" s="9" t="str">
        <f t="shared" si="10"/>
        <v>TRUE</v>
      </c>
      <c r="K105" s="12">
        <f t="shared" si="11"/>
        <v>3</v>
      </c>
      <c r="L105" s="37">
        <v>53</v>
      </c>
      <c r="M105" s="38" t="s">
        <v>139</v>
      </c>
    </row>
    <row r="106" spans="1:13" x14ac:dyDescent="0.25">
      <c r="A106" t="s">
        <v>75</v>
      </c>
      <c r="B106" t="s">
        <v>64</v>
      </c>
      <c r="C106" s="9">
        <v>112.6</v>
      </c>
      <c r="D106" s="9">
        <v>54</v>
      </c>
      <c r="E106" s="9">
        <v>52</v>
      </c>
      <c r="F106" s="9">
        <v>50</v>
      </c>
      <c r="G106" s="9">
        <v>49</v>
      </c>
      <c r="H106" s="12">
        <v>52</v>
      </c>
      <c r="I106" s="12">
        <f t="shared" si="9"/>
        <v>50.333333333333336</v>
      </c>
      <c r="J106" s="9" t="str">
        <f t="shared" si="10"/>
        <v>TRUE</v>
      </c>
      <c r="K106" s="12">
        <f t="shared" si="11"/>
        <v>3</v>
      </c>
      <c r="L106" s="37">
        <v>52</v>
      </c>
      <c r="M106" s="38" t="s">
        <v>139</v>
      </c>
    </row>
    <row r="107" spans="1:13" x14ac:dyDescent="0.25">
      <c r="A107" t="s">
        <v>59</v>
      </c>
      <c r="B107" t="s">
        <v>55</v>
      </c>
      <c r="C107" s="9">
        <v>819.6</v>
      </c>
      <c r="D107" s="9">
        <v>45</v>
      </c>
      <c r="E107" s="9">
        <v>52</v>
      </c>
      <c r="F107" s="9">
        <v>54</v>
      </c>
      <c r="G107" s="9">
        <v>53</v>
      </c>
      <c r="H107" s="12">
        <v>50.333333333333336</v>
      </c>
      <c r="I107" s="12">
        <f t="shared" si="9"/>
        <v>53</v>
      </c>
      <c r="J107" s="9" t="str">
        <f t="shared" si="10"/>
        <v>FALSE</v>
      </c>
      <c r="K107" s="12">
        <f t="shared" si="11"/>
        <v>-2.6666666666666643</v>
      </c>
      <c r="L107" s="37">
        <v>50.333333333333336</v>
      </c>
      <c r="M107" s="38" t="s">
        <v>139</v>
      </c>
    </row>
    <row r="108" spans="1:13" x14ac:dyDescent="0.25">
      <c r="A108" t="s">
        <v>115</v>
      </c>
      <c r="B108" t="s">
        <v>112</v>
      </c>
      <c r="C108" s="9">
        <v>393.3</v>
      </c>
      <c r="D108" s="9">
        <v>43</v>
      </c>
      <c r="E108" s="9">
        <v>55</v>
      </c>
      <c r="F108" s="9">
        <v>52</v>
      </c>
      <c r="G108" s="9">
        <v>51</v>
      </c>
      <c r="H108" s="12">
        <v>50</v>
      </c>
      <c r="I108" s="12">
        <f t="shared" si="9"/>
        <v>52.666666666666664</v>
      </c>
      <c r="J108" s="9" t="str">
        <f t="shared" si="10"/>
        <v>FALSE</v>
      </c>
      <c r="K108" s="12">
        <f t="shared" si="11"/>
        <v>-1</v>
      </c>
      <c r="L108" s="37">
        <v>50</v>
      </c>
      <c r="M108" s="38" t="s">
        <v>139</v>
      </c>
    </row>
    <row r="109" spans="1:13" x14ac:dyDescent="0.25">
      <c r="A109" t="s">
        <v>76</v>
      </c>
      <c r="B109" t="s">
        <v>64</v>
      </c>
      <c r="C109" s="9">
        <v>189.1</v>
      </c>
      <c r="D109" s="9">
        <v>49</v>
      </c>
      <c r="E109" s="9">
        <v>50</v>
      </c>
      <c r="F109" s="9">
        <v>50</v>
      </c>
      <c r="G109" s="9">
        <v>49</v>
      </c>
      <c r="H109" s="12">
        <v>49.666666666666664</v>
      </c>
      <c r="I109" s="12">
        <f t="shared" si="9"/>
        <v>49.666666666666664</v>
      </c>
      <c r="J109" s="9" t="str">
        <f t="shared" si="10"/>
        <v>TRUE</v>
      </c>
      <c r="K109" s="12">
        <f t="shared" si="11"/>
        <v>0.6666666666666643</v>
      </c>
      <c r="L109" s="37">
        <v>49.666666666666664</v>
      </c>
      <c r="M109" s="38" t="s">
        <v>139</v>
      </c>
    </row>
    <row r="110" spans="1:13" x14ac:dyDescent="0.25">
      <c r="A110" t="s">
        <v>110</v>
      </c>
      <c r="B110" t="s">
        <v>103</v>
      </c>
      <c r="C110" s="9">
        <v>744.4</v>
      </c>
      <c r="D110" s="9">
        <v>46</v>
      </c>
      <c r="E110" s="9">
        <v>43</v>
      </c>
      <c r="F110" s="9">
        <v>44</v>
      </c>
      <c r="G110" s="9">
        <v>42</v>
      </c>
      <c r="H110" s="12">
        <v>44.333333333333336</v>
      </c>
      <c r="I110" s="12">
        <f t="shared" si="9"/>
        <v>43</v>
      </c>
      <c r="J110" s="9" t="str">
        <f t="shared" si="10"/>
        <v>TRUE</v>
      </c>
      <c r="K110" s="12">
        <f t="shared" si="11"/>
        <v>2.3333333333333357</v>
      </c>
      <c r="L110" s="37">
        <v>44.333333333333336</v>
      </c>
      <c r="M110" s="38" t="s">
        <v>140</v>
      </c>
    </row>
    <row r="111" spans="1:13" x14ac:dyDescent="0.25">
      <c r="C111" s="9">
        <f>SUM(C2:C110)</f>
        <v>44108.3</v>
      </c>
    </row>
    <row r="1048576" spans="3:3" x14ac:dyDescent="0.25">
      <c r="C1048576" s="9">
        <f>SUM(C2:C1048575)</f>
        <v>88216.6</v>
      </c>
    </row>
  </sheetData>
  <autoFilter ref="A1:M110" xr:uid="{660309B8-ACFC-4998-87A2-7F097148667A}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08D5-DB97-48AC-B483-43AED7B37840}">
  <dimension ref="A1:E24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0.5703125" customWidth="1"/>
    <col min="2" max="2" width="25.140625" style="16" customWidth="1"/>
    <col min="3" max="3" width="19.42578125" style="16" customWidth="1"/>
    <col min="5" max="5" width="28" bestFit="1" customWidth="1"/>
  </cols>
  <sheetData>
    <row r="1" spans="1:5" ht="15.75" thickTop="1" x14ac:dyDescent="0.25">
      <c r="A1" s="17" t="s">
        <v>1</v>
      </c>
      <c r="B1" s="18" t="s">
        <v>141</v>
      </c>
      <c r="C1" s="19" t="s">
        <v>135</v>
      </c>
      <c r="E1" s="29" t="s">
        <v>146</v>
      </c>
    </row>
    <row r="2" spans="1:5" ht="15.75" thickBot="1" x14ac:dyDescent="0.3">
      <c r="A2" s="20" t="s">
        <v>42</v>
      </c>
      <c r="B2" s="21">
        <f>AVERAGEIF('MTC Regional PCIs 2022-2024'!$B:$B,'MTC Regional PCI AggregateStats'!$A2,'MTC Regional PCIs 2022-2024'!$H:$H)</f>
        <v>68.666666666666671</v>
      </c>
      <c r="C2" s="22" t="s">
        <v>138</v>
      </c>
      <c r="E2" s="30">
        <f>SUMPRODUCT('MTC Regional PCIs 2022-2024'!$H:$H,'MTC Regional PCIs 2022-2024'!$C:$C)/SUM('MTC Regional PCIs 2022-2024'!$C:$C)</f>
        <v>16.840176527622553</v>
      </c>
    </row>
    <row r="3" spans="1:5" ht="15.75" thickTop="1" x14ac:dyDescent="0.25">
      <c r="A3" s="20" t="s">
        <v>86</v>
      </c>
      <c r="B3" s="21">
        <f>AVERAGEIF('MTC Regional PCIs 2022-2024'!$B:$B,'MTC Regional PCI AggregateStats'!$A3,'MTC Regional PCIs 2022-2024'!$H:$H)</f>
        <v>72.5625</v>
      </c>
      <c r="C3" s="22" t="s">
        <v>137</v>
      </c>
    </row>
    <row r="4" spans="1:5" x14ac:dyDescent="0.25">
      <c r="A4" s="20" t="s">
        <v>21</v>
      </c>
      <c r="B4" s="21">
        <f>AVERAGEIF('MTC Regional PCIs 2022-2024'!$B:$B,'MTC Regional PCI AggregateStats'!$A4,'MTC Regional PCIs 2022-2024'!$H:$H)</f>
        <v>68.883333333333326</v>
      </c>
      <c r="C4" s="22" t="s">
        <v>138</v>
      </c>
    </row>
    <row r="5" spans="1:5" x14ac:dyDescent="0.25">
      <c r="A5" s="20" t="s">
        <v>64</v>
      </c>
      <c r="B5" s="21">
        <f>AVERAGEIF('MTC Regional PCIs 2022-2024'!$B:$B,'MTC Regional PCI AggregateStats'!$A5,'MTC Regional PCIs 2022-2024'!$H:$H)</f>
        <v>69.904761904761898</v>
      </c>
      <c r="C5" s="22" t="s">
        <v>138</v>
      </c>
    </row>
    <row r="6" spans="1:5" x14ac:dyDescent="0.25">
      <c r="A6" s="20" t="s">
        <v>103</v>
      </c>
      <c r="B6" s="21">
        <f>AVERAGEIF('MTC Regional PCIs 2022-2024'!$B:$B,'MTC Regional PCI AggregateStats'!$A6,'MTC Regional PCIs 2022-2024'!$H:$H)</f>
        <v>61.666666666666664</v>
      </c>
      <c r="C6" s="22" t="s">
        <v>138</v>
      </c>
    </row>
    <row r="7" spans="1:5" x14ac:dyDescent="0.25">
      <c r="A7" s="20" t="s">
        <v>55</v>
      </c>
      <c r="B7" s="21">
        <f>AVERAGEIF('MTC Regional PCIs 2022-2024'!$B:$B,'MTC Regional PCI AggregateStats'!$A7,'MTC Regional PCIs 2022-2024'!$H:$H)</f>
        <v>60.333333333333336</v>
      </c>
      <c r="C7" s="22" t="s">
        <v>138</v>
      </c>
    </row>
    <row r="8" spans="1:5" x14ac:dyDescent="0.25">
      <c r="A8" s="20" t="s">
        <v>5</v>
      </c>
      <c r="B8" s="21">
        <f>AVERAGEIF('MTC Regional PCIs 2022-2024'!$B:$B,'MTC Regional PCI AggregateStats'!$A8,'MTC Regional PCIs 2022-2024'!$H:$H)</f>
        <v>67.955555555555549</v>
      </c>
      <c r="C8" s="22" t="s">
        <v>138</v>
      </c>
    </row>
    <row r="9" spans="1:5" x14ac:dyDescent="0.25">
      <c r="A9" s="20" t="s">
        <v>62</v>
      </c>
      <c r="B9" s="21">
        <f>AVERAGEIF('MTC Regional PCIs 2022-2024'!$B:$B,'MTC Regional PCI AggregateStats'!$A9,'MTC Regional PCIs 2022-2024'!$H:$H)</f>
        <v>74.666666666666671</v>
      </c>
      <c r="C9" s="22" t="s">
        <v>137</v>
      </c>
    </row>
    <row r="10" spans="1:5" ht="15.75" thickBot="1" x14ac:dyDescent="0.3">
      <c r="A10" s="23" t="s">
        <v>112</v>
      </c>
      <c r="B10" s="24">
        <f>AVERAGEIF('MTC Regional PCIs 2022-2024'!$B:$B,'MTC Regional PCI AggregateStats'!$A10,'MTC Regional PCIs 2022-2024'!$H:$H)</f>
        <v>61.8</v>
      </c>
      <c r="C10" s="25" t="s">
        <v>138</v>
      </c>
    </row>
    <row r="11" spans="1:5" ht="15.75" thickTop="1" x14ac:dyDescent="0.25"/>
    <row r="12" spans="1:5" ht="15.75" hidden="1" thickTop="1" x14ac:dyDescent="0.25">
      <c r="A12" s="31" t="s">
        <v>135</v>
      </c>
      <c r="B12" s="32" t="s">
        <v>149</v>
      </c>
      <c r="C12" s="19" t="s">
        <v>145</v>
      </c>
    </row>
    <row r="13" spans="1:5" hidden="1" x14ac:dyDescent="0.25">
      <c r="A13" s="20" t="s">
        <v>142</v>
      </c>
      <c r="B13" s="27">
        <f>SUMIF('MTC Regional PCIs 2022-2024'!$F:$F,"&gt;79.99",'MTC Regional PCIs 2022-2024'!$C:$C)</f>
        <v>2472.6000000000004</v>
      </c>
      <c r="C13" s="33">
        <f>B13/$B$17</f>
        <v>1.4014369177683113E-2</v>
      </c>
    </row>
    <row r="14" spans="1:5" hidden="1" x14ac:dyDescent="0.25">
      <c r="A14" s="20" t="s">
        <v>143</v>
      </c>
      <c r="B14" s="28">
        <f>SUMIFS('MTC Regional PCIs 2022-2024'!$C:$C,'MTC Regional PCIs 2022-2024'!$F:$F,"&gt;59.99",'MTC Regional PCIs 2022-2024'!$F:$F,"&lt;79.99")</f>
        <v>33896.200000000012</v>
      </c>
      <c r="C14" s="33">
        <f>B14/$B$17</f>
        <v>0.1921191703148841</v>
      </c>
    </row>
    <row r="15" spans="1:5" hidden="1" x14ac:dyDescent="0.25">
      <c r="A15" s="20" t="s">
        <v>139</v>
      </c>
      <c r="B15" s="28">
        <f>SUMIFS('MTC Regional PCIs 2022-2024'!$C:$C,'MTC Regional PCIs 2022-2024'!$F:$F,"&gt;49.99",'MTC Regional PCIs 2022-2024'!$F:$F,"&lt;59.99")</f>
        <v>6995.1000000000013</v>
      </c>
      <c r="C15" s="33">
        <f>B15/$B$17</f>
        <v>3.9647299941280897E-2</v>
      </c>
    </row>
    <row r="16" spans="1:5" hidden="1" x14ac:dyDescent="0.25">
      <c r="A16" s="20" t="s">
        <v>144</v>
      </c>
      <c r="B16" s="27">
        <f>SUMIF('MTC Regional PCIs 2022-2024'!$F:$F,"&lt;49.99",'MTC Regional PCIs 2022-2024'!$C:$C)</f>
        <v>744.4</v>
      </c>
      <c r="C16" s="33">
        <f>B16/$B$17</f>
        <v>4.2191605661519487E-3</v>
      </c>
    </row>
    <row r="17" spans="1:3" ht="15.75" hidden="1" thickBot="1" x14ac:dyDescent="0.3">
      <c r="A17" s="34" t="s">
        <v>148</v>
      </c>
      <c r="B17" s="35">
        <f>SUM('MTC Regional PCIs 2022-2024'!$C:$C)</f>
        <v>176433.2</v>
      </c>
      <c r="C17" s="36">
        <f>SUM($C$13:$C$16)</f>
        <v>0.25000000000000006</v>
      </c>
    </row>
    <row r="18" spans="1:3" ht="15.75" thickBot="1" x14ac:dyDescent="0.3"/>
    <row r="19" spans="1:3" ht="15.75" thickTop="1" x14ac:dyDescent="0.25">
      <c r="A19" s="40" t="s">
        <v>150</v>
      </c>
      <c r="B19" s="41" t="s">
        <v>151</v>
      </c>
    </row>
    <row r="20" spans="1:3" x14ac:dyDescent="0.25">
      <c r="A20" s="20" t="s">
        <v>152</v>
      </c>
      <c r="B20" s="42">
        <v>0.35460000000000003</v>
      </c>
    </row>
    <row r="21" spans="1:3" x14ac:dyDescent="0.25">
      <c r="A21" s="20" t="s">
        <v>143</v>
      </c>
      <c r="B21" s="42">
        <v>0.35189999999999999</v>
      </c>
    </row>
    <row r="22" spans="1:3" x14ac:dyDescent="0.25">
      <c r="A22" s="20" t="s">
        <v>139</v>
      </c>
      <c r="B22" s="42">
        <v>8.8499999999999995E-2</v>
      </c>
    </row>
    <row r="23" spans="1:3" ht="15.75" thickBot="1" x14ac:dyDescent="0.3">
      <c r="A23" s="23" t="s">
        <v>144</v>
      </c>
      <c r="B23" s="43">
        <v>0.2021</v>
      </c>
    </row>
    <row r="24" spans="1:3" ht="15.75" thickTop="1" x14ac:dyDescent="0.25"/>
  </sheetData>
  <autoFilter ref="A1:C1" xr:uid="{3F3C08D5-DB97-48AC-B483-43AED7B378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DevMecca SS PCI Export</vt:lpstr>
      <vt:lpstr>SS PCI PivotTable</vt:lpstr>
      <vt:lpstr>MTC Regional PCIs 2022-2025</vt:lpstr>
      <vt:lpstr>MTC Regional PCIs 2022-2024</vt:lpstr>
      <vt:lpstr>MTC Regional PCI AggregateStats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Baker</dc:creator>
  <cp:lastModifiedBy>John Goodwin</cp:lastModifiedBy>
  <dcterms:created xsi:type="dcterms:W3CDTF">2025-07-21T23:47:50Z</dcterms:created>
  <dcterms:modified xsi:type="dcterms:W3CDTF">2025-11-12T18:05:45Z</dcterms:modified>
</cp:coreProperties>
</file>